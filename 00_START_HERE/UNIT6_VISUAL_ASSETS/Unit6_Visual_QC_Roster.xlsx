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 6 Visual QC" sheetId="1" state="visible" r:id="rId1"/>
    <sheet xmlns:r="http://schemas.openxmlformats.org/officeDocument/2006/relationships" name="How to use + not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6B7280"/>
      <sz val="9"/>
    </font>
    <font>
      <name val="Arial"/>
      <b val="1"/>
      <color rgb="002B2B2B"/>
      <sz val="10"/>
    </font>
    <font>
      <name val="Arial"/>
      <color rgb="002B2B2B"/>
      <sz val="10"/>
    </font>
    <font>
      <name val="Arial"/>
      <b val="1"/>
      <color rgb="002B2B2B"/>
      <sz val="9"/>
    </font>
    <font>
      <name val="Arial"/>
      <b val="1"/>
      <color rgb="000B6B2E"/>
      <sz val="9"/>
    </font>
    <font>
      <name val="Arial"/>
      <b val="1"/>
      <color rgb="000B6B2E"/>
      <sz val="10"/>
    </font>
    <font>
      <name val="Arial"/>
      <b val="1"/>
      <color rgb="00C89B3C"/>
      <sz val="9"/>
    </font>
    <font>
      <name val="Arial"/>
      <b val="1"/>
      <color rgb="00B22234"/>
      <sz val="9"/>
    </font>
    <font>
      <name val="Arial"/>
      <b val="1"/>
      <color rgb="00B22234"/>
      <sz val="10"/>
    </font>
    <font>
      <name val="Arial"/>
      <b val="1"/>
      <color rgb="00FFFFFF"/>
      <sz val="9"/>
    </font>
    <font>
      <name val="Arial"/>
      <b val="1"/>
      <color rgb="001B2A4A"/>
      <sz val="10"/>
    </font>
    <font>
      <name val="Arial"/>
      <color rgb="002B2B2B"/>
      <sz val="9"/>
    </font>
    <font>
      <name val="Arial"/>
      <color rgb="001155CC"/>
      <sz val="9"/>
    </font>
    <font>
      <name val="Arial"/>
      <color rgb="001155CC"/>
      <sz val="9"/>
      <u val="single"/>
    </font>
    <font>
      <name val="Arial"/>
      <b val="1"/>
      <color rgb="001B2A4A"/>
      <sz val="13"/>
    </font>
    <font>
      <name val="Arial"/>
      <color rgb="00B22234"/>
      <sz val="10"/>
    </font>
  </fonts>
  <fills count="6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FFF6D5"/>
      </patternFill>
    </fill>
    <fill>
      <patternFill patternType="solid">
        <fgColor rgb="00EEF1F7"/>
      </patternFill>
    </fill>
    <fill>
      <patternFill patternType="solid">
        <fgColor rgb="00F7F5EF"/>
      </patternFill>
    </fill>
  </fills>
  <borders count="2">
    <border>
      <left/>
      <right/>
      <top/>
      <bottom/>
      <diagonal/>
    </border>
    <border>
      <left style="thin">
        <color rgb="00C9C2B4"/>
      </left>
      <right style="thin">
        <color rgb="00C9C2B4"/>
      </right>
      <top style="thin">
        <color rgb="00C9C2B4"/>
      </top>
      <bottom style="thin">
        <color rgb="00C9C2B4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3" fillId="0" borderId="1" applyAlignment="1" pivotButton="0" quotePrefix="0" xfId="0">
      <alignment horizontal="right" vertical="center"/>
    </xf>
    <xf numFmtId="0" fontId="5" fillId="4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left" vertical="center"/>
    </xf>
    <xf numFmtId="0" fontId="1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13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trooptoteacher/trooptoteacher-history/blob/claude/us-history-workbook-standards-u9trfw/00_START_HERE/UNIT6_VISUAL_ASSETS/US.45/US.45_us_unemployment_great_depression.png" TargetMode="External" Id="rId1"/><Relationship Type="http://schemas.openxmlformats.org/officeDocument/2006/relationships/hyperlink" Target="https://github.com/trooptoteacher/trooptoteacher-history/blob/claude/us-history-workbook-standards-u9trfw/00_START_HERE/UNIT6_VISUAL_ASSETS/US.46/US.46_lend_lease_by_country.png" TargetMode="External" Id="rId2"/><Relationship Type="http://schemas.openxmlformats.org/officeDocument/2006/relationships/hyperlink" Target="https://github.com/trooptoteacher/trooptoteacher-history/blob/claude/us-history-workbook-standards-u9trfw/00_START_HERE/UNIT6_VISUAL_ASSETS/US.47/US.47_holocaust_deaths_by_country.png" TargetMode="External" Id="rId3"/><Relationship Type="http://schemas.openxmlformats.org/officeDocument/2006/relationships/hyperlink" Target="https://github.com/trooptoteacher/trooptoteacher-history/blob/claude/us-history-workbook-standards-u9trfw/00_START_HERE/UNIT6_VISUAL_ASSETS/US.48/US.48_pearl_harbor_losses.png" TargetMode="External" Id="rId4"/><Relationship Type="http://schemas.openxmlformats.org/officeDocument/2006/relationships/hyperlink" Target="https://github.com/trooptoteacher/trooptoteacher-history/blob/claude/us-history-workbook-standards-u9trfw/00_START_HERE/UNIT6_VISUAL_ASSETS/US.50/US.50_wwii_battle_casualties.png" TargetMode="External" Id="rId5"/><Relationship Type="http://schemas.openxmlformats.org/officeDocument/2006/relationships/hyperlink" Target="https://github.com/trooptoteacher/trooptoteacher-history/blob/claude/us-history-workbook-standards-u9trfw/00_START_HERE/UNIT6_VISUAL_ASSETS/US.52/US.52_women_workforce_1940_45.png" TargetMode="External" Id="rId6"/><Relationship Type="http://schemas.openxmlformats.org/officeDocument/2006/relationships/hyperlink" Target="https://github.com/trooptoteacher/trooptoteacher-history/blob/claude/us-history-workbook-standards-u9trfw/00_START_HERE/UNIT6_VISUAL_ASSETS/US.53/US.53_black_migration_employment.png" TargetMode="External" Id="rId7"/><Relationship Type="http://schemas.openxmlformats.org/officeDocument/2006/relationships/hyperlink" Target="https://github.com/trooptoteacher/trooptoteacher-history/blob/claude/us-history-workbook-standards-u9trfw/00_START_HERE/UNIT6_VISUAL_ASSETS/US.54/US.54_incarceration_by_camp.png" TargetMode="External" Id="rId8"/><Relationship Type="http://schemas.openxmlformats.org/officeDocument/2006/relationships/hyperlink" Target="https://github.com/trooptoteacher/trooptoteacher-history/blob/claude/us-history-workbook-standards-u9trfw/00_START_HERE/UNIT6_VISUAL_ASSETS/US.55/US.55_us_war_production_1941_1945.png" TargetMode="External" Id="rId9"/><Relationship Type="http://schemas.openxmlformats.org/officeDocument/2006/relationships/hyperlink" Target="https://github.com/trooptoteacher/trooptoteacher-history/blob/claude/us-history-workbook-standards-u9trfw/00_START_HERE/UNIT6_VISUAL_ASSETS/US.56/US.56_hiroshima_nagasaki_casualties.png" TargetMode="External" Id="rId10"/><Relationship Type="http://schemas.openxmlformats.org/officeDocument/2006/relationships/hyperlink" Target="https://github.com/trooptoteacher/trooptoteacher-history/blob/claude/us-history-workbook-standards-u9trfw/00_START_HERE/UNIT6_VISUAL_ASSETS/US.58/US.58_un_founding_members_timeline.png" TargetMode="External" Id="rId11"/><Relationship Type="http://schemas.openxmlformats.org/officeDocument/2006/relationships/hyperlink" Target="https://commons.wikimedia.org/wiki/File:EUROPE_1929-1938_POLITICAL_MAP.svg" TargetMode="External" Id="rId12"/><Relationship Type="http://schemas.openxmlformats.org/officeDocument/2006/relationships/hyperlink" Target="https://dhc.westpoint.edu/atlases/" TargetMode="External" Id="rId13"/><Relationship Type="http://schemas.openxmlformats.org/officeDocument/2006/relationships/hyperlink" Target="https://commons.wikimedia.org/wiki/File:WW2-Holocaust-Europe.png" TargetMode="External" Id="rId14"/><Relationship Type="http://schemas.openxmlformats.org/officeDocument/2006/relationships/hyperlink" Target="https://commons.wikimedia.org/wiki/File:Map_showing_ships_present_at_Pearl_Harbor_on_7_December_1941.png" TargetMode="External" Id="rId15"/><Relationship Type="http://schemas.openxmlformats.org/officeDocument/2006/relationships/hyperlink" Target="https://commons.wikimedia.org/wiki/File:Map_of_participants_in_World_War_II.svg" TargetMode="External" Id="rId16"/><Relationship Type="http://schemas.openxmlformats.org/officeDocument/2006/relationships/hyperlink" Target="https://www.loc.gov/item/94681943" TargetMode="External" Id="rId17"/><Relationship Type="http://schemas.openxmlformats.org/officeDocument/2006/relationships/hyperlink" Target="https://commons.wikimedia.org/wiki/File:Pacific_Theater_Areas;map1.JPG" TargetMode="External" Id="rId18"/><Relationship Type="http://schemas.openxmlformats.org/officeDocument/2006/relationships/hyperlink" Target="https://www.census.gov/dataviz/visualizations/020" TargetMode="External" Id="rId19"/><Relationship Type="http://schemas.openxmlformats.org/officeDocument/2006/relationships/hyperlink" Target="https://www.npshistory.com/series/anthropology/wacc/74/chap1.htm" TargetMode="External" Id="rId20"/><Relationship Type="http://schemas.openxmlformats.org/officeDocument/2006/relationships/hyperlink" Target="https://commons.wikimedia.org/wiki/File:Manhattan_Project_US_Canada_Map.svg" TargetMode="External" Id="rId21"/><Relationship Type="http://schemas.openxmlformats.org/officeDocument/2006/relationships/hyperlink" Target="https://commons.wikimedia.org/wiki/File:Germany_occupation_zones_with_border.jpg" TargetMode="External" Id="rId22"/><Relationship Type="http://schemas.openxmlformats.org/officeDocument/2006/relationships/hyperlink" Target="https://digital.library.unt.edu/ark:/67531/metadc834/" TargetMode="External" Id="rId2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" customWidth="1" min="1" max="1"/>
    <col width="7" customWidth="1" min="2" max="2"/>
    <col width="34" customWidth="1" min="3" max="3"/>
    <col width="12" customWidth="1" min="4" max="4"/>
    <col width="30" customWidth="1" min="5" max="5"/>
    <col width="17" customWidth="1" min="6" max="6"/>
    <col width="24" customWidth="1" min="7" max="7"/>
    <col width="10" customWidth="1" min="8" max="8"/>
    <col width="9" customWidth="1" min="9" max="9"/>
    <col width="11" customWidth="1" min="10" max="10"/>
    <col width="12" customWidth="1" min="11" max="11"/>
    <col width="13" customWidth="1" min="12" max="12"/>
    <col width="10" customWidth="1" min="13" max="13"/>
    <col width="12" customWidth="1" min="14" max="14"/>
    <col width="30" customWidth="1" min="15" max="15"/>
  </cols>
  <sheetData>
    <row r="1" ht="26" customHeight="1">
      <c r="A1" s="1" t="inlineStr">
        <is>
          <t>U.S. History Hack™ — Unit 6 (WWII) · Visual Asset Human-Review Roster</t>
        </is>
      </c>
    </row>
    <row r="2">
      <c r="A2" s="2" t="inlineStr">
        <is>
          <t>Human review + acceptance log for maps and data graphics. One reviewer records one decision + date per asset — the district-facing transparency layer. Yellow cells = you fill in.</t>
        </is>
      </c>
    </row>
    <row r="3">
      <c r="A3" s="3" t="inlineStr">
        <is>
          <t>Reviewer:</t>
        </is>
      </c>
      <c r="B3" s="4" t="inlineStr"/>
      <c r="C3" s="5" t="n"/>
      <c r="D3" s="5" t="n"/>
      <c r="E3" s="6" t="inlineStr">
        <is>
          <t>Role / title:</t>
        </is>
      </c>
      <c r="F3" s="4" t="inlineStr"/>
      <c r="G3" s="5" t="n"/>
      <c r="H3" s="5" t="n"/>
      <c r="I3" s="6" t="inlineStr">
        <is>
          <t>Review date:</t>
        </is>
      </c>
      <c r="J3" s="4" t="inlineStr"/>
      <c r="K3" s="5" t="n"/>
      <c r="L3" s="6" t="inlineStr">
        <is>
          <t>Signature:</t>
        </is>
      </c>
      <c r="M3" s="4" t="inlineStr"/>
      <c r="N3" s="5" t="n"/>
      <c r="O3" s="5" t="n"/>
    </row>
    <row r="4">
      <c r="A4" s="7" t="inlineStr">
        <is>
          <t>Total</t>
        </is>
      </c>
      <c r="B4" s="8">
        <f>COUNT(A8:A31)</f>
        <v/>
      </c>
      <c r="C4" s="9" t="inlineStr">
        <is>
          <t>Accepted</t>
        </is>
      </c>
      <c r="D4" s="10">
        <f>COUNTIF(L8:L31,"Accept")</f>
        <v/>
      </c>
      <c r="E4" s="11" t="inlineStr">
        <is>
          <t>Needs fix</t>
        </is>
      </c>
      <c r="F4" s="8">
        <f>COUNTIF(L8:L31,"Needs fix")</f>
        <v/>
      </c>
      <c r="G4" s="12" t="inlineStr">
        <is>
          <t>Rejected</t>
        </is>
      </c>
      <c r="H4" s="13">
        <f>COUNTIF(L8:L31,"Reject")</f>
        <v/>
      </c>
      <c r="I4" s="7" t="inlineStr">
        <is>
          <t>Pending</t>
        </is>
      </c>
      <c r="J4" s="8">
        <f>B4-D4-F4-H4</f>
        <v/>
      </c>
      <c r="K4" s="2" t="inlineStr">
        <is>
          <t>Accept only when: viewed ✓, historically accurate ✓, and license is commercial-safe ✓.</t>
        </is>
      </c>
    </row>
    <row r="6" ht="30" customHeight="1">
      <c r="A6" s="14" t="inlineStr">
        <is>
          <t>#</t>
        </is>
      </c>
      <c r="B6" s="14" t="inlineStr">
        <is>
          <t>Std</t>
        </is>
      </c>
      <c r="C6" s="14" t="inlineStr">
        <is>
          <t>Asset (filename)</t>
        </is>
      </c>
      <c r="D6" s="14" t="inlineStr">
        <is>
          <t>Type</t>
        </is>
      </c>
      <c r="E6" s="14" t="inlineStr">
        <is>
          <t>What it shows</t>
        </is>
      </c>
      <c r="F6" s="14" t="inlineStr">
        <is>
          <t>Source</t>
        </is>
      </c>
      <c r="G6" s="14" t="inlineStr">
        <is>
          <t>License</t>
        </is>
      </c>
      <c r="H6" s="14" t="inlineStr">
        <is>
          <t>View</t>
        </is>
      </c>
      <c r="I6" s="14" t="inlineStr">
        <is>
          <t>Viewed?</t>
        </is>
      </c>
      <c r="J6" s="14" t="inlineStr">
        <is>
          <t>Historically
accurate?</t>
        </is>
      </c>
      <c r="K6" s="14" t="inlineStr">
        <is>
          <t>License OK
(commercial)?</t>
        </is>
      </c>
      <c r="L6" s="14" t="inlineStr">
        <is>
          <t>Decision</t>
        </is>
      </c>
      <c r="M6" s="14" t="inlineStr">
        <is>
          <t>Reviewer
(initials)</t>
        </is>
      </c>
      <c r="N6" s="14" t="inlineStr">
        <is>
          <t>Date
reviewed</t>
        </is>
      </c>
      <c r="O6" s="14" t="inlineStr">
        <is>
          <t>Notes</t>
        </is>
      </c>
    </row>
    <row r="7">
      <c r="A7" s="15" t="inlineStr">
        <is>
          <t>── DATA GRAPHICS — built and in the repo (verify accuracy + acceptance) ──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</row>
    <row r="8" ht="26" customHeight="1">
      <c r="A8" s="16" t="n">
        <v>1</v>
      </c>
      <c r="B8" s="17" t="inlineStr">
        <is>
          <t>US.45</t>
        </is>
      </c>
      <c r="C8" s="18" t="inlineStr">
        <is>
          <t>US.45_us_unemployment_great_depression.png</t>
        </is>
      </c>
      <c r="D8" s="16" t="inlineStr">
        <is>
          <t>Data graphic</t>
        </is>
      </c>
      <c r="E8" s="19" t="inlineStr">
        <is>
          <t>U.S. unemployment, 1929–1940</t>
        </is>
      </c>
      <c r="F8" s="19" t="inlineStr">
        <is>
          <t>BLS / Lebergott</t>
        </is>
      </c>
      <c r="G8" s="19" t="inlineStr">
        <is>
          <t>PD data — chart is original</t>
        </is>
      </c>
      <c r="H8" s="20" t="inlineStr">
        <is>
          <t>View image</t>
        </is>
      </c>
      <c r="I8" s="4" t="inlineStr"/>
      <c r="J8" s="4" t="inlineStr"/>
      <c r="K8" s="4" t="inlineStr"/>
      <c r="L8" s="4" t="inlineStr"/>
      <c r="M8" s="4" t="inlineStr"/>
      <c r="N8" s="4" t="inlineStr"/>
      <c r="O8" s="4" t="inlineStr"/>
    </row>
    <row r="9" ht="26" customHeight="1">
      <c r="A9" s="16" t="n">
        <v>2</v>
      </c>
      <c r="B9" s="17" t="inlineStr">
        <is>
          <t>US.46</t>
        </is>
      </c>
      <c r="C9" s="18" t="inlineStr">
        <is>
          <t>US.46_lend_lease_by_country.png</t>
        </is>
      </c>
      <c r="D9" s="16" t="inlineStr">
        <is>
          <t>Data graphic</t>
        </is>
      </c>
      <c r="E9" s="19" t="inlineStr">
        <is>
          <t>Lend-Lease aid by recipient</t>
        </is>
      </c>
      <c r="F9" s="19" t="inlineStr">
        <is>
          <t>U.S. War Dept.</t>
        </is>
      </c>
      <c r="G9" s="19" t="inlineStr">
        <is>
          <t>PD data — chart is original</t>
        </is>
      </c>
      <c r="H9" s="20" t="inlineStr">
        <is>
          <t>View image</t>
        </is>
      </c>
      <c r="I9" s="4" t="inlineStr"/>
      <c r="J9" s="4" t="inlineStr"/>
      <c r="K9" s="4" t="inlineStr"/>
      <c r="L9" s="4" t="inlineStr"/>
      <c r="M9" s="4" t="inlineStr"/>
      <c r="N9" s="4" t="inlineStr"/>
      <c r="O9" s="4" t="inlineStr"/>
    </row>
    <row r="10" ht="26" customHeight="1">
      <c r="A10" s="16" t="n">
        <v>3</v>
      </c>
      <c r="B10" s="17" t="inlineStr">
        <is>
          <t>US.47</t>
        </is>
      </c>
      <c r="C10" s="18" t="inlineStr">
        <is>
          <t>US.47_holocaust_deaths_by_country.png</t>
        </is>
      </c>
      <c r="D10" s="16" t="inlineStr">
        <is>
          <t>Data graphic</t>
        </is>
      </c>
      <c r="E10" s="19" t="inlineStr">
        <is>
          <t>Jewish deaths by country (estimates) — SENSITIVE</t>
        </is>
      </c>
      <c r="F10" s="19" t="inlineStr">
        <is>
          <t>USHMM</t>
        </is>
      </c>
      <c r="G10" s="19" t="inlineStr">
        <is>
          <t>PD data — chart is original</t>
        </is>
      </c>
      <c r="H10" s="20" t="inlineStr">
        <is>
          <t>View image</t>
        </is>
      </c>
      <c r="I10" s="4" t="inlineStr"/>
      <c r="J10" s="4" t="inlineStr"/>
      <c r="K10" s="4" t="inlineStr"/>
      <c r="L10" s="4" t="inlineStr"/>
      <c r="M10" s="4" t="inlineStr"/>
      <c r="N10" s="4" t="inlineStr"/>
      <c r="O10" s="4" t="inlineStr"/>
    </row>
    <row r="11" ht="26" customHeight="1">
      <c r="A11" s="16" t="n">
        <v>4</v>
      </c>
      <c r="B11" s="17" t="inlineStr">
        <is>
          <t>US.48</t>
        </is>
      </c>
      <c r="C11" s="18" t="inlineStr">
        <is>
          <t>US.48_pearl_harbor_losses.png</t>
        </is>
      </c>
      <c r="D11" s="16" t="inlineStr">
        <is>
          <t>Data graphic</t>
        </is>
      </c>
      <c r="E11" s="19" t="inlineStr">
        <is>
          <t>Pearl Harbor by the numbers</t>
        </is>
      </c>
      <c r="F11" s="19" t="inlineStr">
        <is>
          <t>U.S. Navy (NHHC)</t>
        </is>
      </c>
      <c r="G11" s="19" t="inlineStr">
        <is>
          <t>PD data — chart is original</t>
        </is>
      </c>
      <c r="H11" s="20" t="inlineStr">
        <is>
          <t>View image</t>
        </is>
      </c>
      <c r="I11" s="4" t="inlineStr"/>
      <c r="J11" s="4" t="inlineStr"/>
      <c r="K11" s="4" t="inlineStr"/>
      <c r="L11" s="4" t="inlineStr"/>
      <c r="M11" s="4" t="inlineStr"/>
      <c r="N11" s="4" t="inlineStr"/>
      <c r="O11" s="4" t="inlineStr"/>
    </row>
    <row r="12" ht="26" customHeight="1">
      <c r="A12" s="16" t="n">
        <v>5</v>
      </c>
      <c r="B12" s="17" t="inlineStr">
        <is>
          <t>US.50</t>
        </is>
      </c>
      <c r="C12" s="18" t="inlineStr">
        <is>
          <t>US.50_wwii_battle_casualties.png</t>
        </is>
      </c>
      <c r="D12" s="16" t="inlineStr">
        <is>
          <t>Data graphic</t>
        </is>
      </c>
      <c r="E12" s="19" t="inlineStr">
        <is>
          <t>U.S. killed in major battles</t>
        </is>
      </c>
      <c r="F12" s="19" t="inlineStr">
        <is>
          <t>NHHC / Army CMH</t>
        </is>
      </c>
      <c r="G12" s="19" t="inlineStr">
        <is>
          <t>PD data — chart is original</t>
        </is>
      </c>
      <c r="H12" s="20" t="inlineStr">
        <is>
          <t>View image</t>
        </is>
      </c>
      <c r="I12" s="4" t="inlineStr"/>
      <c r="J12" s="4" t="inlineStr"/>
      <c r="K12" s="4" t="inlineStr"/>
      <c r="L12" s="4" t="inlineStr"/>
      <c r="M12" s="4" t="inlineStr"/>
      <c r="N12" s="4" t="inlineStr"/>
      <c r="O12" s="4" t="inlineStr"/>
    </row>
    <row r="13" ht="26" customHeight="1">
      <c r="A13" s="16" t="n">
        <v>6</v>
      </c>
      <c r="B13" s="17" t="inlineStr">
        <is>
          <t>US.52</t>
        </is>
      </c>
      <c r="C13" s="18" t="inlineStr">
        <is>
          <t>US.52_women_workforce_1940_45.png</t>
        </is>
      </c>
      <c r="D13" s="16" t="inlineStr">
        <is>
          <t>Data graphic</t>
        </is>
      </c>
      <c r="E13" s="19" t="inlineStr">
        <is>
          <t>Women in the labor force, 1940 vs 1945</t>
        </is>
      </c>
      <c r="F13" s="19" t="inlineStr">
        <is>
          <t>BLS / Census</t>
        </is>
      </c>
      <c r="G13" s="19" t="inlineStr">
        <is>
          <t>PD data — chart is original</t>
        </is>
      </c>
      <c r="H13" s="20" t="inlineStr">
        <is>
          <t>View image</t>
        </is>
      </c>
      <c r="I13" s="4" t="inlineStr"/>
      <c r="J13" s="4" t="inlineStr"/>
      <c r="K13" s="4" t="inlineStr"/>
      <c r="L13" s="4" t="inlineStr"/>
      <c r="M13" s="4" t="inlineStr"/>
      <c r="N13" s="4" t="inlineStr"/>
      <c r="O13" s="4" t="inlineStr"/>
    </row>
    <row r="14" ht="26" customHeight="1">
      <c r="A14" s="16" t="n">
        <v>7</v>
      </c>
      <c r="B14" s="17" t="inlineStr">
        <is>
          <t>US.53</t>
        </is>
      </c>
      <c r="C14" s="18" t="inlineStr">
        <is>
          <t>US.53_black_migration_employment.png</t>
        </is>
      </c>
      <c r="D14" s="16" t="inlineStr">
        <is>
          <t>Data graphic</t>
        </is>
      </c>
      <c r="E14" s="19" t="inlineStr">
        <is>
          <t>Black war-production job share, 1942 vs 1945</t>
        </is>
      </c>
      <c r="F14" s="19" t="inlineStr">
        <is>
          <t>Census / FEPC</t>
        </is>
      </c>
      <c r="G14" s="19" t="inlineStr">
        <is>
          <t>PD data — chart is original</t>
        </is>
      </c>
      <c r="H14" s="20" t="inlineStr">
        <is>
          <t>View image</t>
        </is>
      </c>
      <c r="I14" s="4" t="inlineStr"/>
      <c r="J14" s="4" t="inlineStr"/>
      <c r="K14" s="4" t="inlineStr"/>
      <c r="L14" s="4" t="inlineStr"/>
      <c r="M14" s="4" t="inlineStr"/>
      <c r="N14" s="4" t="inlineStr"/>
      <c r="O14" s="4" t="inlineStr"/>
    </row>
    <row r="15" ht="26" customHeight="1">
      <c r="A15" s="16" t="n">
        <v>8</v>
      </c>
      <c r="B15" s="17" t="inlineStr">
        <is>
          <t>US.54</t>
        </is>
      </c>
      <c r="C15" s="18" t="inlineStr">
        <is>
          <t>US.54_incarceration_by_camp.png</t>
        </is>
      </c>
      <c r="D15" s="16" t="inlineStr">
        <is>
          <t>Data graphic</t>
        </is>
      </c>
      <c r="E15" s="19" t="inlineStr">
        <is>
          <t>Incarceration by WRA camp</t>
        </is>
      </c>
      <c r="F15" s="19" t="inlineStr">
        <is>
          <t>WRA (1946)</t>
        </is>
      </c>
      <c r="G15" s="19" t="inlineStr">
        <is>
          <t>PD data — chart is original</t>
        </is>
      </c>
      <c r="H15" s="20" t="inlineStr">
        <is>
          <t>View image</t>
        </is>
      </c>
      <c r="I15" s="4" t="inlineStr"/>
      <c r="J15" s="4" t="inlineStr"/>
      <c r="K15" s="4" t="inlineStr"/>
      <c r="L15" s="4" t="inlineStr"/>
      <c r="M15" s="4" t="inlineStr"/>
      <c r="N15" s="4" t="inlineStr"/>
      <c r="O15" s="4" t="inlineStr"/>
    </row>
    <row r="16" ht="26" customHeight="1">
      <c r="A16" s="16" t="n">
        <v>9</v>
      </c>
      <c r="B16" s="17" t="inlineStr">
        <is>
          <t>US.55</t>
        </is>
      </c>
      <c r="C16" s="18" t="inlineStr">
        <is>
          <t>US.55_us_war_production_1941_1945.png</t>
        </is>
      </c>
      <c r="D16" s="16" t="inlineStr">
        <is>
          <t>Data graphic</t>
        </is>
      </c>
      <c r="E16" s="19" t="inlineStr">
        <is>
          <t>U.S. aircraft production, 1941–1945</t>
        </is>
      </c>
      <c r="F16" s="19" t="inlineStr">
        <is>
          <t>AAF Statistical Digest</t>
        </is>
      </c>
      <c r="G16" s="19" t="inlineStr">
        <is>
          <t>PD data — chart is original</t>
        </is>
      </c>
      <c r="H16" s="20" t="inlineStr">
        <is>
          <t>View image</t>
        </is>
      </c>
      <c r="I16" s="4" t="inlineStr"/>
      <c r="J16" s="4" t="inlineStr"/>
      <c r="K16" s="4" t="inlineStr"/>
      <c r="L16" s="4" t="inlineStr"/>
      <c r="M16" s="4" t="inlineStr"/>
      <c r="N16" s="4" t="inlineStr"/>
      <c r="O16" s="4" t="inlineStr"/>
    </row>
    <row r="17" ht="26" customHeight="1">
      <c r="A17" s="16" t="n">
        <v>10</v>
      </c>
      <c r="B17" s="17" t="inlineStr">
        <is>
          <t>US.56</t>
        </is>
      </c>
      <c r="C17" s="18" t="inlineStr">
        <is>
          <t>US.56_hiroshima_nagasaki_casualties.png</t>
        </is>
      </c>
      <c r="D17" s="16" t="inlineStr">
        <is>
          <t>Data graphic</t>
        </is>
      </c>
      <c r="E17" s="19" t="inlineStr">
        <is>
          <t>Hiroshima/Nagasaki casualties (estimates) — SENSITIVE</t>
        </is>
      </c>
      <c r="F17" s="19" t="inlineStr">
        <is>
          <t>Manhattan Engineer District (1946)</t>
        </is>
      </c>
      <c r="G17" s="19" t="inlineStr">
        <is>
          <t>PD data — chart is original</t>
        </is>
      </c>
      <c r="H17" s="20" t="inlineStr">
        <is>
          <t>View image</t>
        </is>
      </c>
      <c r="I17" s="4" t="inlineStr"/>
      <c r="J17" s="4" t="inlineStr"/>
      <c r="K17" s="4" t="inlineStr"/>
      <c r="L17" s="4" t="inlineStr"/>
      <c r="M17" s="4" t="inlineStr"/>
      <c r="N17" s="4" t="inlineStr"/>
      <c r="O17" s="4" t="inlineStr"/>
    </row>
    <row r="18" ht="26" customHeight="1">
      <c r="A18" s="16" t="n">
        <v>11</v>
      </c>
      <c r="B18" s="17" t="inlineStr">
        <is>
          <t>US.58</t>
        </is>
      </c>
      <c r="C18" s="18" t="inlineStr">
        <is>
          <t>US.58_un_founding_members_timeline.png</t>
        </is>
      </c>
      <c r="D18" s="16" t="inlineStr">
        <is>
          <t>Data graphic</t>
        </is>
      </c>
      <c r="E18" s="19" t="inlineStr">
        <is>
          <t>UN membership growth, 1945–present</t>
        </is>
      </c>
      <c r="F18" s="19" t="inlineStr">
        <is>
          <t>United Nations</t>
        </is>
      </c>
      <c r="G18" s="19" t="inlineStr">
        <is>
          <t>PD data — chart is original</t>
        </is>
      </c>
      <c r="H18" s="20" t="inlineStr">
        <is>
          <t>View image</t>
        </is>
      </c>
      <c r="I18" s="4" t="inlineStr"/>
      <c r="J18" s="4" t="inlineStr"/>
      <c r="K18" s="4" t="inlineStr"/>
      <c r="L18" s="4" t="inlineStr"/>
      <c r="M18" s="4" t="inlineStr"/>
      <c r="N18" s="4" t="inlineStr"/>
      <c r="O18" s="4" t="inlineStr"/>
    </row>
    <row r="19">
      <c r="A19" s="15" t="inlineStr">
        <is>
          <t>── MAPS — to source; open the link, confirm the license, download, then accept ──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</row>
    <row r="20" ht="26" customHeight="1">
      <c r="A20" s="16" t="n">
        <v>12</v>
      </c>
      <c r="B20" s="17" t="inlineStr">
        <is>
          <t>US.45</t>
        </is>
      </c>
      <c r="C20" s="18" t="inlineStr">
        <is>
          <t>US.45_europe_political_map_1938.svg</t>
        </is>
      </c>
      <c r="D20" s="16" t="inlineStr">
        <is>
          <t>Map</t>
        </is>
      </c>
      <c r="E20" s="19" t="inlineStr">
        <is>
          <t>Political map of Europe, 1938</t>
        </is>
      </c>
      <c r="F20" s="19" t="inlineStr">
        <is>
          <t>Wikimedia</t>
        </is>
      </c>
      <c r="G20" s="19" t="inlineStr">
        <is>
          <t>CC BY-SA 2.5 (confirm) — or build fresh</t>
        </is>
      </c>
      <c r="H20" s="20" t="inlineStr">
        <is>
          <t>View image</t>
        </is>
      </c>
      <c r="I20" s="4" t="inlineStr"/>
      <c r="J20" s="4" t="inlineStr"/>
      <c r="K20" s="4" t="inlineStr"/>
      <c r="L20" s="4" t="inlineStr"/>
      <c r="M20" s="4" t="inlineStr"/>
      <c r="N20" s="4" t="inlineStr"/>
      <c r="O20" s="4" t="inlineStr"/>
    </row>
    <row r="21" ht="26" customHeight="1">
      <c r="A21" s="16" t="n">
        <v>13</v>
      </c>
      <c r="B21" s="17" t="inlineStr">
        <is>
          <t>US.46</t>
        </is>
      </c>
      <c r="C21" s="18" t="inlineStr">
        <is>
          <t>US.46_axis_expansion_map.jpg</t>
        </is>
      </c>
      <c r="D21" s="16" t="inlineStr">
        <is>
          <t>Map</t>
        </is>
      </c>
      <c r="E21" s="19" t="inlineStr">
        <is>
          <t>Axis expansion, 1935–1941</t>
        </is>
      </c>
      <c r="F21" s="19" t="inlineStr">
        <is>
          <t>West Point USMA Atlas</t>
        </is>
      </c>
      <c r="G21" s="19" t="inlineStr">
        <is>
          <t>PD (confirm)</t>
        </is>
      </c>
      <c r="H21" s="20" t="inlineStr">
        <is>
          <t>View image</t>
        </is>
      </c>
      <c r="I21" s="4" t="inlineStr"/>
      <c r="J21" s="4" t="inlineStr"/>
      <c r="K21" s="4" t="inlineStr"/>
      <c r="L21" s="4" t="inlineStr"/>
      <c r="M21" s="4" t="inlineStr"/>
      <c r="N21" s="4" t="inlineStr"/>
      <c r="O21" s="4" t="inlineStr"/>
    </row>
    <row r="22" ht="26" customHeight="1">
      <c r="A22" s="16" t="n">
        <v>14</v>
      </c>
      <c r="B22" s="17" t="inlineStr">
        <is>
          <t>US.47</t>
        </is>
      </c>
      <c r="C22" s="18" t="inlineStr">
        <is>
          <t>US.47_holocaust_camps_europe_map.png</t>
        </is>
      </c>
      <c r="D22" s="16" t="inlineStr">
        <is>
          <t>Map</t>
        </is>
      </c>
      <c r="E22" s="19" t="inlineStr">
        <is>
          <t>Nazi camps across Europe</t>
        </is>
      </c>
      <c r="F22" s="19" t="inlineStr">
        <is>
          <t>Wikimedia (D. Nilsson)</t>
        </is>
      </c>
      <c r="G22" s="19" t="inlineStr">
        <is>
          <t>CC BY 3.0 (confirm)</t>
        </is>
      </c>
      <c r="H22" s="20" t="inlineStr">
        <is>
          <t>View image</t>
        </is>
      </c>
      <c r="I22" s="4" t="inlineStr"/>
      <c r="J22" s="4" t="inlineStr"/>
      <c r="K22" s="4" t="inlineStr"/>
      <c r="L22" s="4" t="inlineStr"/>
      <c r="M22" s="4" t="inlineStr"/>
      <c r="N22" s="4" t="inlineStr"/>
      <c r="O22" s="4" t="inlineStr"/>
    </row>
    <row r="23" ht="26" customHeight="1">
      <c r="A23" s="16" t="n">
        <v>15</v>
      </c>
      <c r="B23" s="17" t="inlineStr">
        <is>
          <t>US.48</t>
        </is>
      </c>
      <c r="C23" s="18" t="inlineStr">
        <is>
          <t>US.48_pearl_harbor_attack_map.png</t>
        </is>
      </c>
      <c r="D23" s="16" t="inlineStr">
        <is>
          <t>Map</t>
        </is>
      </c>
      <c r="E23" s="19" t="inlineStr">
        <is>
          <t>Ships at Pearl Harbor, Dec 7 1941</t>
        </is>
      </c>
      <c r="F23" s="19" t="inlineStr">
        <is>
          <t>U.S. Navy / NARA</t>
        </is>
      </c>
      <c r="G23" s="19" t="inlineStr">
        <is>
          <t>PD (confirm)</t>
        </is>
      </c>
      <c r="H23" s="20" t="inlineStr">
        <is>
          <t>View image</t>
        </is>
      </c>
      <c r="I23" s="4" t="inlineStr"/>
      <c r="J23" s="4" t="inlineStr"/>
      <c r="K23" s="4" t="inlineStr"/>
      <c r="L23" s="4" t="inlineStr"/>
      <c r="M23" s="4" t="inlineStr"/>
      <c r="N23" s="4" t="inlineStr"/>
      <c r="O23" s="4" t="inlineStr"/>
    </row>
    <row r="24" ht="26" customHeight="1">
      <c r="A24" s="16" t="n">
        <v>16</v>
      </c>
      <c r="B24" s="17" t="inlineStr">
        <is>
          <t>US.49</t>
        </is>
      </c>
      <c r="C24" s="18" t="inlineStr">
        <is>
          <t>US.49_allies_vs_axis_world_map.svg</t>
        </is>
      </c>
      <c r="D24" s="16" t="inlineStr">
        <is>
          <t>Map</t>
        </is>
      </c>
      <c r="E24" s="19" t="inlineStr">
        <is>
          <t>Allies vs. Axis (world)</t>
        </is>
      </c>
      <c r="F24" s="19" t="inlineStr">
        <is>
          <t>Wikimedia</t>
        </is>
      </c>
      <c r="G24" s="19" t="inlineStr">
        <is>
          <t>CC BY-SA 4.0 (confirm) — or build fresh</t>
        </is>
      </c>
      <c r="H24" s="20" t="inlineStr">
        <is>
          <t>View image</t>
        </is>
      </c>
      <c r="I24" s="4" t="inlineStr"/>
      <c r="J24" s="4" t="inlineStr"/>
      <c r="K24" s="4" t="inlineStr"/>
      <c r="L24" s="4" t="inlineStr"/>
      <c r="M24" s="4" t="inlineStr"/>
      <c r="N24" s="4" t="inlineStr"/>
      <c r="O24" s="4" t="inlineStr"/>
    </row>
    <row r="25" ht="26" customHeight="1">
      <c r="A25" s="16" t="n">
        <v>17</v>
      </c>
      <c r="B25" s="17" t="inlineStr">
        <is>
          <t>US.50</t>
        </is>
      </c>
      <c r="C25" s="18" t="inlineStr">
        <is>
          <t>US.50_dday_normandy_map.jpg</t>
        </is>
      </c>
      <c r="D25" s="16" t="inlineStr">
        <is>
          <t>Map</t>
        </is>
      </c>
      <c r="E25" s="19" t="inlineStr">
        <is>
          <t>D-Day / Normandy invasion</t>
        </is>
      </c>
      <c r="F25" s="19" t="inlineStr">
        <is>
          <t>U.S. Army CMH via LOC</t>
        </is>
      </c>
      <c r="G25" s="19" t="inlineStr">
        <is>
          <t>PD (confirm)</t>
        </is>
      </c>
      <c r="H25" s="20" t="inlineStr">
        <is>
          <t>View image</t>
        </is>
      </c>
      <c r="I25" s="4" t="inlineStr"/>
      <c r="J25" s="4" t="inlineStr"/>
      <c r="K25" s="4" t="inlineStr"/>
      <c r="L25" s="4" t="inlineStr"/>
      <c r="M25" s="4" t="inlineStr"/>
      <c r="N25" s="4" t="inlineStr"/>
      <c r="O25" s="4" t="inlineStr"/>
    </row>
    <row r="26" ht="26" customHeight="1">
      <c r="A26" s="16" t="n">
        <v>18</v>
      </c>
      <c r="B26" s="17" t="inlineStr">
        <is>
          <t>US.50</t>
        </is>
      </c>
      <c r="C26" s="18" t="inlineStr">
        <is>
          <t>US.50_pacific_island_hopping_map.jpg</t>
        </is>
      </c>
      <c r="D26" s="16" t="inlineStr">
        <is>
          <t>Map</t>
        </is>
      </c>
      <c r="E26" s="19" t="inlineStr">
        <is>
          <t>Pacific Theater / island-hopping</t>
        </is>
      </c>
      <c r="F26" s="19" t="inlineStr">
        <is>
          <t>U.S. Army CMH</t>
        </is>
      </c>
      <c r="G26" s="19" t="inlineStr">
        <is>
          <t>PD (confirm)</t>
        </is>
      </c>
      <c r="H26" s="20" t="inlineStr">
        <is>
          <t>View image</t>
        </is>
      </c>
      <c r="I26" s="4" t="inlineStr"/>
      <c r="J26" s="4" t="inlineStr"/>
      <c r="K26" s="4" t="inlineStr"/>
      <c r="L26" s="4" t="inlineStr"/>
      <c r="M26" s="4" t="inlineStr"/>
      <c r="N26" s="4" t="inlineStr"/>
      <c r="O26" s="4" t="inlineStr"/>
    </row>
    <row r="27" ht="26" customHeight="1">
      <c r="A27" s="16" t="n">
        <v>19</v>
      </c>
      <c r="B27" s="17" t="inlineStr">
        <is>
          <t>US.53</t>
        </is>
      </c>
      <c r="C27" s="18" t="inlineStr">
        <is>
          <t>US.53_great_migration_map.jpg</t>
        </is>
      </c>
      <c r="D27" s="16" t="inlineStr">
        <is>
          <t>Map</t>
        </is>
      </c>
      <c r="E27" s="19" t="inlineStr">
        <is>
          <t>The Great Migration, 1910–1970</t>
        </is>
      </c>
      <c r="F27" s="19" t="inlineStr">
        <is>
          <t>U.S. Census Bureau</t>
        </is>
      </c>
      <c r="G27" s="19" t="inlineStr">
        <is>
          <t>PD (confirm)</t>
        </is>
      </c>
      <c r="H27" s="20" t="inlineStr">
        <is>
          <t>View image</t>
        </is>
      </c>
      <c r="I27" s="4" t="inlineStr"/>
      <c r="J27" s="4" t="inlineStr"/>
      <c r="K27" s="4" t="inlineStr"/>
      <c r="L27" s="4" t="inlineStr"/>
      <c r="M27" s="4" t="inlineStr"/>
      <c r="N27" s="4" t="inlineStr"/>
      <c r="O27" s="4" t="inlineStr"/>
    </row>
    <row r="28" ht="26" customHeight="1">
      <c r="A28" s="16" t="n">
        <v>20</v>
      </c>
      <c r="B28" s="17" t="inlineStr">
        <is>
          <t>US.54</t>
        </is>
      </c>
      <c r="C28" s="18" t="inlineStr">
        <is>
          <t>US.54_wra_camps_map.jpg</t>
        </is>
      </c>
      <c r="D28" s="16" t="inlineStr">
        <is>
          <t>Map</t>
        </is>
      </c>
      <c r="E28" s="19" t="inlineStr">
        <is>
          <t>WRA incarceration camp locations</t>
        </is>
      </c>
      <c r="F28" s="19" t="inlineStr">
        <is>
          <t>National Park Service</t>
        </is>
      </c>
      <c r="G28" s="19" t="inlineStr">
        <is>
          <t>PD (confirm)</t>
        </is>
      </c>
      <c r="H28" s="20" t="inlineStr">
        <is>
          <t>View image</t>
        </is>
      </c>
      <c r="I28" s="4" t="inlineStr"/>
      <c r="J28" s="4" t="inlineStr"/>
      <c r="K28" s="4" t="inlineStr"/>
      <c r="L28" s="4" t="inlineStr"/>
      <c r="M28" s="4" t="inlineStr"/>
      <c r="N28" s="4" t="inlineStr"/>
      <c r="O28" s="4" t="inlineStr"/>
    </row>
    <row r="29" ht="26" customHeight="1">
      <c r="A29" s="16" t="n">
        <v>21</v>
      </c>
      <c r="B29" s="17" t="inlineStr">
        <is>
          <t>US.56</t>
        </is>
      </c>
      <c r="C29" s="18" t="inlineStr">
        <is>
          <t>US.56_manhattan_project_sites_map.svg</t>
        </is>
      </c>
      <c r="D29" s="16" t="inlineStr">
        <is>
          <t>Map</t>
        </is>
      </c>
      <c r="E29" s="19" t="inlineStr">
        <is>
          <t>Manhattan Project sites (Oak Ridge TN)</t>
        </is>
      </c>
      <c r="F29" s="19" t="inlineStr">
        <is>
          <t>Wikimedia / OSTI</t>
        </is>
      </c>
      <c r="G29" s="19" t="inlineStr">
        <is>
          <t>CC BY-SA 3.0 or OSTI PD (confirm)</t>
        </is>
      </c>
      <c r="H29" s="20" t="inlineStr">
        <is>
          <t>View image</t>
        </is>
      </c>
      <c r="I29" s="4" t="inlineStr"/>
      <c r="J29" s="4" t="inlineStr"/>
      <c r="K29" s="4" t="inlineStr"/>
      <c r="L29" s="4" t="inlineStr"/>
      <c r="M29" s="4" t="inlineStr"/>
      <c r="N29" s="4" t="inlineStr"/>
      <c r="O29" s="4" t="inlineStr"/>
    </row>
    <row r="30" ht="26" customHeight="1">
      <c r="A30" s="16" t="n">
        <v>22</v>
      </c>
      <c r="B30" s="17" t="inlineStr">
        <is>
          <t>US.57</t>
        </is>
      </c>
      <c r="C30" s="18" t="inlineStr">
        <is>
          <t>US.57_germany_occupation_zones_map.jpg</t>
        </is>
      </c>
      <c r="D30" s="16" t="inlineStr">
        <is>
          <t>Map</t>
        </is>
      </c>
      <c r="E30" s="19" t="inlineStr">
        <is>
          <t>Allied occupation zones of Germany, 1945</t>
        </is>
      </c>
      <c r="F30" s="19" t="inlineStr">
        <is>
          <t>U.S. Army</t>
        </is>
      </c>
      <c r="G30" s="19" t="inlineStr">
        <is>
          <t>PD (confirm)</t>
        </is>
      </c>
      <c r="H30" s="20" t="inlineStr">
        <is>
          <t>View image</t>
        </is>
      </c>
      <c r="I30" s="4" t="inlineStr"/>
      <c r="J30" s="4" t="inlineStr"/>
      <c r="K30" s="4" t="inlineStr"/>
      <c r="L30" s="4" t="inlineStr"/>
      <c r="M30" s="4" t="inlineStr"/>
      <c r="N30" s="4" t="inlineStr"/>
      <c r="O30" s="4" t="inlineStr"/>
    </row>
    <row r="31" ht="26" customHeight="1">
      <c r="A31" s="16" t="n">
        <v>23</v>
      </c>
      <c r="B31" s="17" t="inlineStr">
        <is>
          <t>US.58</t>
        </is>
      </c>
      <c r="C31" s="18" t="inlineStr">
        <is>
          <t>US.58_un_51_member_states_map.jpg</t>
        </is>
      </c>
      <c r="D31" s="16" t="inlineStr">
        <is>
          <t>Map</t>
        </is>
      </c>
      <c r="E31" s="19" t="inlineStr">
        <is>
          <t>UN 51 founding members</t>
        </is>
      </c>
      <c r="F31" s="19" t="inlineStr">
        <is>
          <t>U.S. War Dept. Newsmap</t>
        </is>
      </c>
      <c r="G31" s="19" t="inlineStr">
        <is>
          <t>PD (confirm)</t>
        </is>
      </c>
      <c r="H31" s="20" t="inlineStr">
        <is>
          <t>View image</t>
        </is>
      </c>
      <c r="I31" s="4" t="inlineStr"/>
      <c r="J31" s="4" t="inlineStr"/>
      <c r="K31" s="4" t="inlineStr"/>
      <c r="L31" s="4" t="inlineStr"/>
      <c r="M31" s="4" t="inlineStr"/>
      <c r="N31" s="4" t="inlineStr"/>
      <c r="O31" s="4" t="inlineStr"/>
    </row>
  </sheetData>
  <mergeCells count="9">
    <mergeCell ref="J3:K3"/>
    <mergeCell ref="B3:D3"/>
    <mergeCell ref="A7:O7"/>
    <mergeCell ref="A2:O2"/>
    <mergeCell ref="A19:O19"/>
    <mergeCell ref="M3:O3"/>
    <mergeCell ref="A1:O1"/>
    <mergeCell ref="F3:H3"/>
    <mergeCell ref="K4:O4"/>
  </mergeCells>
  <dataValidations count="4">
    <dataValidation sqref="I8:I31" showDropDown="0" showInputMessage="0" showErrorMessage="0" allowBlank="1" type="list">
      <formula1>"Yes,No"</formula1>
    </dataValidation>
    <dataValidation sqref="J8:J31" showDropDown="0" showInputMessage="0" showErrorMessage="0" allowBlank="1" type="list">
      <formula1>"Yes,No,N/A"</formula1>
    </dataValidation>
    <dataValidation sqref="K8:K31" showDropDown="0" showInputMessage="0" showErrorMessage="0" allowBlank="1" type="list">
      <formula1>"Yes,No,Pending"</formula1>
    </dataValidation>
    <dataValidation sqref="L8:L31" showDropDown="0" showInputMessage="0" showErrorMessage="0" allowBlank="1" type="list">
      <formula1>"Accept,Needs fix,Reject"</formula1>
    </dataValidation>
  </dataValidations>
  <hyperlinks>
    <hyperlink xmlns:r="http://schemas.openxmlformats.org/officeDocument/2006/relationships" ref="H8" r:id="rId1"/>
    <hyperlink xmlns:r="http://schemas.openxmlformats.org/officeDocument/2006/relationships" ref="H9" r:id="rId2"/>
    <hyperlink xmlns:r="http://schemas.openxmlformats.org/officeDocument/2006/relationships" ref="H10" r:id="rId3"/>
    <hyperlink xmlns:r="http://schemas.openxmlformats.org/officeDocument/2006/relationships" ref="H11" r:id="rId4"/>
    <hyperlink xmlns:r="http://schemas.openxmlformats.org/officeDocument/2006/relationships" ref="H12" r:id="rId5"/>
    <hyperlink xmlns:r="http://schemas.openxmlformats.org/officeDocument/2006/relationships" ref="H13" r:id="rId6"/>
    <hyperlink xmlns:r="http://schemas.openxmlformats.org/officeDocument/2006/relationships" ref="H14" r:id="rId7"/>
    <hyperlink xmlns:r="http://schemas.openxmlformats.org/officeDocument/2006/relationships" ref="H15" r:id="rId8"/>
    <hyperlink xmlns:r="http://schemas.openxmlformats.org/officeDocument/2006/relationships" ref="H16" r:id="rId9"/>
    <hyperlink xmlns:r="http://schemas.openxmlformats.org/officeDocument/2006/relationships" ref="H17" r:id="rId10"/>
    <hyperlink xmlns:r="http://schemas.openxmlformats.org/officeDocument/2006/relationships" ref="H18" r:id="rId11"/>
    <hyperlink xmlns:r="http://schemas.openxmlformats.org/officeDocument/2006/relationships" ref="H20" r:id="rId12"/>
    <hyperlink xmlns:r="http://schemas.openxmlformats.org/officeDocument/2006/relationships" ref="H21" r:id="rId13"/>
    <hyperlink xmlns:r="http://schemas.openxmlformats.org/officeDocument/2006/relationships" ref="H22" r:id="rId14"/>
    <hyperlink xmlns:r="http://schemas.openxmlformats.org/officeDocument/2006/relationships" ref="H23" r:id="rId15"/>
    <hyperlink xmlns:r="http://schemas.openxmlformats.org/officeDocument/2006/relationships" ref="H24" r:id="rId16"/>
    <hyperlink xmlns:r="http://schemas.openxmlformats.org/officeDocument/2006/relationships" ref="H25" r:id="rId17"/>
    <hyperlink xmlns:r="http://schemas.openxmlformats.org/officeDocument/2006/relationships" ref="H26" r:id="rId18"/>
    <hyperlink xmlns:r="http://schemas.openxmlformats.org/officeDocument/2006/relationships" ref="H27" r:id="rId19"/>
    <hyperlink xmlns:r="http://schemas.openxmlformats.org/officeDocument/2006/relationships" ref="H28" r:id="rId20"/>
    <hyperlink xmlns:r="http://schemas.openxmlformats.org/officeDocument/2006/relationships" ref="H29" r:id="rId21"/>
    <hyperlink xmlns:r="http://schemas.openxmlformats.org/officeDocument/2006/relationships" ref="H30" r:id="rId22"/>
    <hyperlink xmlns:r="http://schemas.openxmlformats.org/officeDocument/2006/relationships" ref="H31" r:id="rId2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1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1" t="inlineStr">
        <is>
          <t>U.S. History Hack — Unit 6 Visual QC Roster — how to use</t>
        </is>
      </c>
    </row>
    <row r="2">
      <c r="A2" s="22" t="inlineStr"/>
    </row>
    <row r="3">
      <c r="A3" s="22" t="inlineStr">
        <is>
          <t>1. Fill in Reviewer, Role, Review date, and Signature at the top of the roster tab.</t>
        </is>
      </c>
    </row>
    <row r="4">
      <c r="A4" s="22" t="inlineStr">
        <is>
          <t>2. For each asset, click 'View image' to open it (data graphics open in the repo; maps open at the source).</t>
        </is>
      </c>
    </row>
    <row r="5">
      <c r="A5" s="22" t="inlineStr">
        <is>
          <t>3. Set Viewed?, Historically accurate?, and License OK? Then choose a Decision: Accept / Needs fix / Reject.</t>
        </is>
      </c>
    </row>
    <row r="6">
      <c r="A6" s="22" t="inlineStr">
        <is>
          <t>4. Add initials + date in the reviewer/date columns, and any Notes. The summary tally at top updates automatically.</t>
        </is>
      </c>
    </row>
    <row r="7">
      <c r="A7" s="22" t="inlineStr"/>
    </row>
    <row r="8">
      <c r="A8" s="23" t="inlineStr">
        <is>
          <t>Acceptance rule: Accept only when Viewed = Yes, Historically accurate = Yes, and License OK = Yes.</t>
        </is>
      </c>
    </row>
    <row r="9">
      <c r="A9" s="22" t="inlineStr"/>
    </row>
    <row r="10">
      <c r="A10" s="22" t="inlineStr">
        <is>
          <t>DATA GRAPHICS: built by TroopToTeacher from public-domain datasets, so the chart itself is an original work.</t>
        </is>
      </c>
    </row>
    <row r="11">
      <c r="A11" s="22" t="inlineStr">
        <is>
          <t xml:space="preserve">   The source line is printed on each chart. Two are flagged SENSITIVE (US.47 Holocaust, US.56 atomic casualties)</t>
        </is>
      </c>
    </row>
    <row r="12">
      <c r="A12" s="22" t="inlineStr">
        <is>
          <t xml:space="preserve">   — recommend a historian-factcheck pass on the numbers before Accept.</t>
        </is>
      </c>
    </row>
    <row r="13">
      <c r="A13" s="22" t="inlineStr">
        <is>
          <t>MAPS: not yet downloaded. Open the link, confirm the license on the file page, then download into the</t>
        </is>
      </c>
    </row>
    <row r="14">
      <c r="A14" s="22" t="inlineStr">
        <is>
          <t xml:space="preserve">   matching US.&lt;nn&gt;/ folder using the filename shown. Prefer public-domain; CC BY-SA items are flagged 'confirm'.</t>
        </is>
      </c>
    </row>
    <row r="15">
      <c r="A15" s="22" t="inlineStr">
        <is>
          <t xml:space="preserve">   Do NOT use UN Photo (media.un.org) for US.58 — use the U.S. War Dept. Newsmap link shown.</t>
        </is>
      </c>
    </row>
    <row r="16">
      <c r="A16" s="22" t="inlineStr"/>
    </row>
    <row r="17">
      <c r="A17" s="22" t="inlineStr">
        <is>
          <t>PHOTOS: the ~40 WWII primary-source photos in your Google Drive (US.45–US.58) are already cited and are</t>
        </is>
      </c>
    </row>
    <row r="18">
      <c r="A18" s="22" t="inlineStr">
        <is>
          <t xml:space="preserve">   tracked separately — not re-reviewed here. Ask if you'd like them added as a third tab for a complete record.</t>
        </is>
      </c>
    </row>
    <row r="19">
      <c r="A19" s="22" t="inlineStr"/>
    </row>
    <row r="20">
      <c r="A20" s="22" t="inlineStr">
        <is>
          <t>This roster is a human-review record: it documents who reviewed each asset, when, and the acceptance decision —</t>
        </is>
      </c>
    </row>
    <row r="21">
      <c r="A21" s="22" t="inlineStr">
        <is>
          <t>the transparency layer for district adoption.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2026-08-01T16:20:19Z</dcterms:created>
  <dcterms:modified xmlns:dcterms="http://purl.org/dc/terms/" xmlns:xsi="http://www.w3.org/2001/XMLSchema-instance" xsi:type="dcterms:W3CDTF">2026-08-01T16:20:20Z</dcterms:modified>
</cp:coreProperties>
</file>