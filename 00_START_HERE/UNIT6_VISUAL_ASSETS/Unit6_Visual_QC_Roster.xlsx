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6 Visual QC" sheetId="1" state="visible" r:id="rId1"/>
    <sheet xmlns:r="http://schemas.openxmlformats.org/officeDocument/2006/relationships" name="How to use + notes" sheetId="2" state="visible" r:id="rId2"/>
    <sheet xmlns:r="http://schemas.openxmlformats.org/officeDocument/2006/relationships" name="Photos (already cit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B7280"/>
      <sz val="9"/>
    </font>
    <font>
      <name val="Arial"/>
      <b val="1"/>
      <color rgb="002B2B2B"/>
      <sz val="10"/>
    </font>
    <font>
      <name val="Arial"/>
      <color rgb="002B2B2B"/>
      <sz val="10"/>
    </font>
    <font>
      <name val="Arial"/>
      <b val="1"/>
      <color rgb="002B2B2B"/>
      <sz val="9"/>
    </font>
    <font>
      <name val="Arial"/>
      <b val="1"/>
      <color rgb="000B6B2E"/>
      <sz val="9"/>
    </font>
    <font>
      <name val="Arial"/>
      <b val="1"/>
      <color rgb="000B6B2E"/>
      <sz val="10"/>
    </font>
    <font>
      <name val="Arial"/>
      <b val="1"/>
      <color rgb="00B22234"/>
      <sz val="9"/>
    </font>
    <font>
      <name val="Arial"/>
      <b val="1"/>
      <color rgb="00B22234"/>
      <sz val="10"/>
    </font>
    <font>
      <name val="Arial"/>
      <b val="1"/>
      <color rgb="00FFFFFF"/>
      <sz val="9"/>
    </font>
    <font>
      <name val="Arial"/>
      <b val="1"/>
      <color rgb="001B2A4A"/>
      <sz val="10"/>
    </font>
    <font>
      <name val="Arial"/>
      <color rgb="002B2B2B"/>
      <sz val="9"/>
    </font>
    <font>
      <name val="Arial"/>
      <color rgb="001155CC"/>
      <sz val="9"/>
      <u val="single"/>
    </font>
    <font>
      <name val="Arial"/>
      <color rgb="002B2B2B"/>
      <sz val="8"/>
    </font>
    <font>
      <name val="Arial"/>
      <b val="1"/>
      <color rgb="001B2A4A"/>
      <sz val="13"/>
    </font>
    <font>
      <name val="Arial"/>
      <color rgb="00B22234"/>
      <sz val="10"/>
    </font>
    <font>
      <name val="Arial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6D5"/>
      </patternFill>
    </fill>
    <fill>
      <patternFill patternType="solid">
        <fgColor rgb="00EEF1F7"/>
      </patternFill>
    </fill>
    <fill>
      <patternFill patternType="solid">
        <fgColor rgb="00F7F5EF"/>
      </patternFill>
    </fill>
    <fill>
      <patternFill patternType="solid">
        <fgColor rgb="00E7F1E9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1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rooptoteacher/trooptoteacher-history/blob/claude/us-history-workbook-standards-u9trfw/00_START_HERE/UNIT6_VISUAL_ASSETS/US.45/US.45_us_unemployment_great_depression.png" TargetMode="External" Id="rId1"/><Relationship Type="http://schemas.openxmlformats.org/officeDocument/2006/relationships/hyperlink" Target="https://github.com/trooptoteacher/trooptoteacher-history/blob/claude/us-history-workbook-standards-u9trfw/00_START_HERE/UNIT6_VISUAL_ASSETS/US.46/US.46_lend_lease_by_country.png" TargetMode="External" Id="rId2"/><Relationship Type="http://schemas.openxmlformats.org/officeDocument/2006/relationships/hyperlink" Target="https://github.com/trooptoteacher/trooptoteacher-history/blob/claude/us-history-workbook-standards-u9trfw/00_START_HERE/UNIT6_VISUAL_ASSETS/US.47/US.47_holocaust_deaths_by_country.png" TargetMode="External" Id="rId3"/><Relationship Type="http://schemas.openxmlformats.org/officeDocument/2006/relationships/hyperlink" Target="https://github.com/trooptoteacher/trooptoteacher-history/blob/claude/us-history-workbook-standards-u9trfw/00_START_HERE/UNIT6_VISUAL_ASSETS/US.48/US.48_pearl_harbor_losses.png" TargetMode="External" Id="rId4"/><Relationship Type="http://schemas.openxmlformats.org/officeDocument/2006/relationships/hyperlink" Target="https://github.com/trooptoteacher/trooptoteacher-history/blob/claude/us-history-workbook-standards-u9trfw/00_START_HERE/UNIT6_VISUAL_ASSETS/US.50/US.50_wwii_battle_casualties.png" TargetMode="External" Id="rId5"/><Relationship Type="http://schemas.openxmlformats.org/officeDocument/2006/relationships/hyperlink" Target="https://github.com/trooptoteacher/trooptoteacher-history/blob/claude/us-history-workbook-standards-u9trfw/00_START_HERE/UNIT6_VISUAL_ASSETS/US.52/US.52_women_workforce_1940_45.png" TargetMode="External" Id="rId6"/><Relationship Type="http://schemas.openxmlformats.org/officeDocument/2006/relationships/hyperlink" Target="https://github.com/trooptoteacher/trooptoteacher-history/blob/claude/us-history-workbook-standards-u9trfw/00_START_HERE/UNIT6_VISUAL_ASSETS/US.53/US.53_black_migration_employment.png" TargetMode="External" Id="rId7"/><Relationship Type="http://schemas.openxmlformats.org/officeDocument/2006/relationships/hyperlink" Target="https://github.com/trooptoteacher/trooptoteacher-history/blob/claude/us-history-workbook-standards-u9trfw/00_START_HERE/UNIT6_VISUAL_ASSETS/US.54/US.54_incarceration_by_camp.png" TargetMode="External" Id="rId8"/><Relationship Type="http://schemas.openxmlformats.org/officeDocument/2006/relationships/hyperlink" Target="https://github.com/trooptoteacher/trooptoteacher-history/blob/claude/us-history-workbook-standards-u9trfw/00_START_HERE/UNIT6_VISUAL_ASSETS/US.55/US.55_us_war_production_1941_1945.png" TargetMode="External" Id="rId9"/><Relationship Type="http://schemas.openxmlformats.org/officeDocument/2006/relationships/hyperlink" Target="https://github.com/trooptoteacher/trooptoteacher-history/blob/claude/us-history-workbook-standards-u9trfw/00_START_HERE/UNIT6_VISUAL_ASSETS/US.56/US.56_hiroshima_nagasaki_casualties.png" TargetMode="External" Id="rId10"/><Relationship Type="http://schemas.openxmlformats.org/officeDocument/2006/relationships/hyperlink" Target="https://github.com/trooptoteacher/trooptoteacher-history/blob/claude/us-history-workbook-standards-u9trfw/00_START_HERE/UNIT6_VISUAL_ASSETS/US.58/US.58_un_founding_members_timeline.png" TargetMode="External" Id="rId11"/><Relationship Type="http://schemas.openxmlformats.org/officeDocument/2006/relationships/hyperlink" Target="https://commons.wikimedia.org/wiki/File:EUROPE_1929-1938_POLITICAL_MAP.svg" TargetMode="External" Id="rId12"/><Relationship Type="http://schemas.openxmlformats.org/officeDocument/2006/relationships/hyperlink" Target="https://dhc.westpoint.edu/atlases/" TargetMode="External" Id="rId13"/><Relationship Type="http://schemas.openxmlformats.org/officeDocument/2006/relationships/hyperlink" Target="https://commons.wikimedia.org/wiki/File:WW2-Holocaust-Europe.png" TargetMode="External" Id="rId14"/><Relationship Type="http://schemas.openxmlformats.org/officeDocument/2006/relationships/hyperlink" Target="https://commons.wikimedia.org/wiki/File:Map_showing_ships_present_at_Pearl_Harbor_on_7_December_1941.png" TargetMode="External" Id="rId15"/><Relationship Type="http://schemas.openxmlformats.org/officeDocument/2006/relationships/hyperlink" Target="https://commons.wikimedia.org/wiki/File:Map_of_participants_in_World_War_II.svg" TargetMode="External" Id="rId16"/><Relationship Type="http://schemas.openxmlformats.org/officeDocument/2006/relationships/hyperlink" Target="https://www.loc.gov/item/94681943" TargetMode="External" Id="rId17"/><Relationship Type="http://schemas.openxmlformats.org/officeDocument/2006/relationships/hyperlink" Target="https://commons.wikimedia.org/wiki/File:Pacific_Theater_Areas;map1.JPG" TargetMode="External" Id="rId18"/><Relationship Type="http://schemas.openxmlformats.org/officeDocument/2006/relationships/hyperlink" Target="https://www.census.gov/dataviz/visualizations/020" TargetMode="External" Id="rId19"/><Relationship Type="http://schemas.openxmlformats.org/officeDocument/2006/relationships/hyperlink" Target="https://www.npshistory.com/series/anthropology/wacc/74/chap1.htm" TargetMode="External" Id="rId20"/><Relationship Type="http://schemas.openxmlformats.org/officeDocument/2006/relationships/hyperlink" Target="https://commons.wikimedia.org/wiki/File:Manhattan_Project_US_Canada_Map.svg" TargetMode="External" Id="rId21"/><Relationship Type="http://schemas.openxmlformats.org/officeDocument/2006/relationships/hyperlink" Target="https://commons.wikimedia.org/wiki/File:Germany_occupation_zones_with_border.jpg" TargetMode="External" Id="rId22"/><Relationship Type="http://schemas.openxmlformats.org/officeDocument/2006/relationships/hyperlink" Target="https://digital.library.unt.edu/ark:/67531/metadc834/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bouxPTDeXdDGmv_mIlA_fdCgJEv5DXOo/view" TargetMode="External" Id="rId1"/><Relationship Type="http://schemas.openxmlformats.org/officeDocument/2006/relationships/hyperlink" Target="https://drive.google.com/file/d/18ibNSXH61X7OYXWpP6Cuc3-oVkfeplJ6/view" TargetMode="External" Id="rId2"/><Relationship Type="http://schemas.openxmlformats.org/officeDocument/2006/relationships/hyperlink" Target="https://drive.google.com/file/d/1-FQQExAgT6ZFrI8HxTcuEm5Sc4Ct1DCt/view" TargetMode="External" Id="rId3"/><Relationship Type="http://schemas.openxmlformats.org/officeDocument/2006/relationships/hyperlink" Target="https://drive.google.com/file/d/1bNS__UBNbWBt32bJDTsqDUE5rvDNytSS/view" TargetMode="External" Id="rId4"/><Relationship Type="http://schemas.openxmlformats.org/officeDocument/2006/relationships/hyperlink" Target="https://drive.google.com/file/d/14eq-vbRPAqlRSxJ_VkzbfFYruH9H_R0C/view" TargetMode="External" Id="rId5"/><Relationship Type="http://schemas.openxmlformats.org/officeDocument/2006/relationships/hyperlink" Target="https://drive.google.com/file/d/1Cvkj3pocCZpdlPDPgybfSJf20P9k9Olo/view" TargetMode="External" Id="rId6"/><Relationship Type="http://schemas.openxmlformats.org/officeDocument/2006/relationships/hyperlink" Target="https://drive.google.com/file/d/1oLS3WkShjd-eL5KypuAgHgVPU_9Jt3ab/view" TargetMode="External" Id="rId7"/><Relationship Type="http://schemas.openxmlformats.org/officeDocument/2006/relationships/hyperlink" Target="https://drive.google.com/file/d/15jJUP6_50XHJZtMfw-LyovEetL8rjn6T/view" TargetMode="External" Id="rId8"/><Relationship Type="http://schemas.openxmlformats.org/officeDocument/2006/relationships/hyperlink" Target="https://drive.google.com/file/d/1WuXayNNW-JyJM2EbSc1PGLiHm-JV4wJA/view" TargetMode="External" Id="rId9"/><Relationship Type="http://schemas.openxmlformats.org/officeDocument/2006/relationships/hyperlink" Target="https://drive.google.com/file/d/1wdHKFhpUP_NyCVcBnImUiOZWy6fupG0d/view" TargetMode="External" Id="rId10"/><Relationship Type="http://schemas.openxmlformats.org/officeDocument/2006/relationships/hyperlink" Target="https://drive.google.com/file/d/1w7HqQzZk9u0RdT3tm-__YN3giR4r5oT9/view" TargetMode="External" Id="rId11"/><Relationship Type="http://schemas.openxmlformats.org/officeDocument/2006/relationships/hyperlink" Target="https://drive.google.com/file/d/1s3vIa2aGt6Gjxc1NbdFwIiijdmN8jj-d/view" TargetMode="External" Id="rId12"/><Relationship Type="http://schemas.openxmlformats.org/officeDocument/2006/relationships/hyperlink" Target="https://drive.google.com/file/d/1Ev3aslfk-SIPZLrG9KOOXWJhTj4FRxmO/view" TargetMode="External" Id="rId13"/><Relationship Type="http://schemas.openxmlformats.org/officeDocument/2006/relationships/hyperlink" Target="https://drive.google.com/file/d/1uZKaYReZwTMZxkkV5Wr7k-vxsnhyX87b/view" TargetMode="External" Id="rId14"/><Relationship Type="http://schemas.openxmlformats.org/officeDocument/2006/relationships/hyperlink" Target="https://drive.google.com/file/d/14YR3hWblUPI7oa2a3bwLbxLJ_8V1MvZ3/view" TargetMode="External" Id="rId15"/><Relationship Type="http://schemas.openxmlformats.org/officeDocument/2006/relationships/hyperlink" Target="https://drive.google.com/file/d/1nG9iZWgPMeAcBIOa34OhhTIkdcyiZr6v/view" TargetMode="External" Id="rId16"/><Relationship Type="http://schemas.openxmlformats.org/officeDocument/2006/relationships/hyperlink" Target="https://drive.google.com/file/d/1ANSG4jobbEPZQH-Q7FR9nfp2W101ACb9/view" TargetMode="External" Id="rId17"/><Relationship Type="http://schemas.openxmlformats.org/officeDocument/2006/relationships/hyperlink" Target="https://drive.google.com/file/d/1RFsIa4g26v07QRy8WS-vvwr2THX1sMmJ/view" TargetMode="External" Id="rId18"/><Relationship Type="http://schemas.openxmlformats.org/officeDocument/2006/relationships/hyperlink" Target="https://drive.google.com/file/d/1sVv41TOGqnZLIxcSXIDtFHFRIdJ2cANt/view" TargetMode="External" Id="rId19"/><Relationship Type="http://schemas.openxmlformats.org/officeDocument/2006/relationships/hyperlink" Target="https://drive.google.com/file/d/1hQHBK56zxXKhwUPaTRR2-kKgnYVha2WA/view" TargetMode="External" Id="rId20"/><Relationship Type="http://schemas.openxmlformats.org/officeDocument/2006/relationships/hyperlink" Target="https://drive.google.com/file/d/1EwiJOJ-mk04o14b90nIkXqnUWHDtCA80/view" TargetMode="External" Id="rId21"/><Relationship Type="http://schemas.openxmlformats.org/officeDocument/2006/relationships/hyperlink" Target="https://drive.google.com/file/d/1MBr2iw-jiHWftZ4shrKENQjAV1puMABc/view" TargetMode="External" Id="rId22"/><Relationship Type="http://schemas.openxmlformats.org/officeDocument/2006/relationships/hyperlink" Target="https://drive.google.com/file/d/1_L2EZvyevp-Nv6AHrvNG8QA1tniRhSVO/view" TargetMode="External" Id="rId23"/><Relationship Type="http://schemas.openxmlformats.org/officeDocument/2006/relationships/hyperlink" Target="https://drive.google.com/file/d/12JAnYtYzD55g5J97uBZHuNZu3OBCIEZz/view" TargetMode="External" Id="rId24"/><Relationship Type="http://schemas.openxmlformats.org/officeDocument/2006/relationships/hyperlink" Target="https://drive.google.com/file/d/1HS0uyttBTXnqYQqxrmUR2ijPk4nc_YsE/view" TargetMode="External" Id="rId25"/><Relationship Type="http://schemas.openxmlformats.org/officeDocument/2006/relationships/hyperlink" Target="https://drive.google.com/file/d/1r-T11T0BTiuJ713KYPJKwaW6-Z0GD9nA/view" TargetMode="External" Id="rId26"/><Relationship Type="http://schemas.openxmlformats.org/officeDocument/2006/relationships/hyperlink" Target="https://drive.google.com/file/d/1icvPB4MxSXhoh9tj4cPmqp_psZk4AL4Z/view" TargetMode="External" Id="rId27"/><Relationship Type="http://schemas.openxmlformats.org/officeDocument/2006/relationships/hyperlink" Target="https://drive.google.com/file/d/1f0pHkTKfHh1GZ6UntMgzk8ri_3cKpUf9/view" TargetMode="External" Id="rId28"/><Relationship Type="http://schemas.openxmlformats.org/officeDocument/2006/relationships/hyperlink" Target="https://drive.google.com/file/d/1saUfjY6el604-J3KndnQ4k8qtNhLZVtP/view" TargetMode="External" Id="rId29"/><Relationship Type="http://schemas.openxmlformats.org/officeDocument/2006/relationships/hyperlink" Target="https://drive.google.com/file/d/1jE83xMZh6HMNT3RVDsidWkXQKn3vvMxR/view" TargetMode="External" Id="rId30"/><Relationship Type="http://schemas.openxmlformats.org/officeDocument/2006/relationships/hyperlink" Target="https://drive.google.com/file/d/1WpIigmogc25aXtkDytpovrRd8SD5cbT7/view" TargetMode="External" Id="rId31"/><Relationship Type="http://schemas.openxmlformats.org/officeDocument/2006/relationships/hyperlink" Target="https://drive.google.com/file/d/16-owuPirxYUsU3c0xgJO8bju18rOavSs/view" TargetMode="External" Id="rId32"/><Relationship Type="http://schemas.openxmlformats.org/officeDocument/2006/relationships/hyperlink" Target="https://drive.google.com/file/d/1EDYxHA0pqL_ONWo0Bsi0oKmsVeDkQbPW/view" TargetMode="External" Id="rId33"/><Relationship Type="http://schemas.openxmlformats.org/officeDocument/2006/relationships/hyperlink" Target="https://drive.google.com/file/d/1PMJ1omPm7ZXwXPNDGpHVsU9T0PDpQn43/view" TargetMode="External" Id="rId34"/><Relationship Type="http://schemas.openxmlformats.org/officeDocument/2006/relationships/hyperlink" Target="https://drive.google.com/file/d/1XEHYtUP7UsoA1fa_3g9iAzasclFCAVmP/view" TargetMode="External" Id="rId35"/><Relationship Type="http://schemas.openxmlformats.org/officeDocument/2006/relationships/hyperlink" Target="https://drive.google.com/file/d/1GTmn3UpDDacS4YVX1BNs7-XtqBFkwYwI/view" TargetMode="External" Id="rId36"/><Relationship Type="http://schemas.openxmlformats.org/officeDocument/2006/relationships/hyperlink" Target="https://drive.google.com/file/d/1dSN_Dxq6aPgLZIYqLBk0CQrDfK0eMEpQ/view" TargetMode="External" Id="rId37"/><Relationship Type="http://schemas.openxmlformats.org/officeDocument/2006/relationships/hyperlink" Target="https://drive.google.com/file/d/1lEv8ZoqyepzywuMr77WkaYfUgLh7mjQX/view" TargetMode="External" Id="rId38"/><Relationship Type="http://schemas.openxmlformats.org/officeDocument/2006/relationships/hyperlink" Target="https://drive.google.com/file/d/1hJFi_Pgi5xEOQEZeH8JtWRaP8lY2HFye/view" TargetMode="External" Id="rId39"/><Relationship Type="http://schemas.openxmlformats.org/officeDocument/2006/relationships/hyperlink" Target="https://drive.google.com/file/d/1PfY6j3q93LewNn9y5d9U1rLyRSFTpALL/view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33" customWidth="1" min="3" max="3"/>
    <col width="11" customWidth="1" min="4" max="4"/>
    <col width="26" customWidth="1" min="5" max="5"/>
    <col width="16" customWidth="1" min="6" max="6"/>
    <col width="22" customWidth="1" min="7" max="7"/>
    <col width="9" customWidth="1" min="8" max="8"/>
    <col width="8" customWidth="1" min="9" max="9"/>
    <col width="10" customWidth="1" min="10" max="10"/>
    <col width="11" customWidth="1" min="11" max="11"/>
    <col width="12" customWidth="1" min="12" max="12"/>
    <col width="9" customWidth="1" min="13" max="13"/>
    <col width="11" customWidth="1" min="14" max="14"/>
    <col width="42" customWidth="1" min="15" max="15"/>
    <col width="24" customWidth="1" min="16" max="16"/>
  </cols>
  <sheetData>
    <row r="1" ht="26" customHeight="1">
      <c r="A1" s="1" t="inlineStr">
        <is>
          <t>U.S. History Hack™ — Unit 6 (WWII) · Visual Asset Human-Review Roster</t>
        </is>
      </c>
    </row>
    <row r="2">
      <c r="A2" s="2" t="inlineStr">
        <is>
          <t>Human review + acceptance log for maps and data graphics. One reviewer records one decision + date per asset. Yellow = you fill in. 'Fact-check (analyst)' is a pre-pass — concur or override.</t>
        </is>
      </c>
    </row>
    <row r="3">
      <c r="A3" s="3" t="inlineStr">
        <is>
          <t>Reviewer:</t>
        </is>
      </c>
      <c r="B3" s="4" t="inlineStr"/>
      <c r="E3" s="5" t="inlineStr">
        <is>
          <t>Role / title:</t>
        </is>
      </c>
      <c r="F3" s="4" t="inlineStr"/>
      <c r="I3" s="5" t="inlineStr">
        <is>
          <t>Review date:</t>
        </is>
      </c>
      <c r="J3" s="4" t="inlineStr"/>
      <c r="L3" s="5" t="inlineStr">
        <is>
          <t>Signature:</t>
        </is>
      </c>
      <c r="M3" s="4" t="inlineStr"/>
    </row>
    <row r="4">
      <c r="A4" s="6" t="inlineStr">
        <is>
          <t>Total</t>
        </is>
      </c>
      <c r="B4" s="7">
        <f>COUNT(A8:A31)</f>
        <v/>
      </c>
      <c r="C4" s="8" t="inlineStr">
        <is>
          <t>Accepted</t>
        </is>
      </c>
      <c r="D4" s="9">
        <f>COUNTIF(L8:L31,"Accept")</f>
        <v/>
      </c>
      <c r="E4" s="6" t="inlineStr">
        <is>
          <t>Needs fix</t>
        </is>
      </c>
      <c r="F4" s="7">
        <f>COUNTIF(L8:L31,"Needs fix")</f>
        <v/>
      </c>
      <c r="G4" s="10" t="inlineStr">
        <is>
          <t>Rejected</t>
        </is>
      </c>
      <c r="H4" s="11">
        <f>COUNTIF(L8:L31,"Reject")</f>
        <v/>
      </c>
      <c r="I4" s="6" t="inlineStr">
        <is>
          <t>Pending</t>
        </is>
      </c>
      <c r="J4" s="7">
        <f>B4-D4-F4-H4</f>
        <v/>
      </c>
      <c r="K4" s="2" t="inlineStr">
        <is>
          <t>Accept only when: viewed ✓, historically accurate ✓, license commercial-safe ✓.</t>
        </is>
      </c>
    </row>
    <row r="6" ht="30" customHeight="1">
      <c r="A6" s="12" t="inlineStr">
        <is>
          <t>#</t>
        </is>
      </c>
      <c r="B6" s="12" t="inlineStr">
        <is>
          <t>Std</t>
        </is>
      </c>
      <c r="C6" s="12" t="inlineStr">
        <is>
          <t>Asset (filename)</t>
        </is>
      </c>
      <c r="D6" s="12" t="inlineStr">
        <is>
          <t>Type</t>
        </is>
      </c>
      <c r="E6" s="12" t="inlineStr">
        <is>
          <t>What it shows</t>
        </is>
      </c>
      <c r="F6" s="12" t="inlineStr">
        <is>
          <t>Source</t>
        </is>
      </c>
      <c r="G6" s="12" t="inlineStr">
        <is>
          <t>License</t>
        </is>
      </c>
      <c r="H6" s="12" t="inlineStr">
        <is>
          <t>View</t>
        </is>
      </c>
      <c r="I6" s="12" t="inlineStr">
        <is>
          <t>Viewed?</t>
        </is>
      </c>
      <c r="J6" s="12" t="inlineStr">
        <is>
          <t>Historically
accurate?</t>
        </is>
      </c>
      <c r="K6" s="12" t="inlineStr">
        <is>
          <t>License OK
(commercial)?</t>
        </is>
      </c>
      <c r="L6" s="12" t="inlineStr">
        <is>
          <t>Decision</t>
        </is>
      </c>
      <c r="M6" s="12" t="inlineStr">
        <is>
          <t>Reviewer
(initials)</t>
        </is>
      </c>
      <c r="N6" s="12" t="inlineStr">
        <is>
          <t>Date
reviewed</t>
        </is>
      </c>
      <c r="O6" s="12" t="inlineStr">
        <is>
          <t>Fact-check (analyst pre-pass)</t>
        </is>
      </c>
      <c r="P6" s="12" t="inlineStr">
        <is>
          <t>Reviewer notes</t>
        </is>
      </c>
    </row>
    <row r="7">
      <c r="A7" s="13" t="inlineStr">
        <is>
          <t>── DATA GRAPHICS — built and in the repo (verify accuracy + acceptance) ──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 ht="30" customHeight="1">
      <c r="A8" s="15" t="n">
        <v>1</v>
      </c>
      <c r="B8" s="16" t="inlineStr">
        <is>
          <t>US.45</t>
        </is>
      </c>
      <c r="C8" s="17" t="inlineStr">
        <is>
          <t>US.45_us_unemployment_great_depression.png</t>
        </is>
      </c>
      <c r="D8" s="15" t="inlineStr">
        <is>
          <t>Data graphic</t>
        </is>
      </c>
      <c r="E8" s="18" t="inlineStr">
        <is>
          <t>U.S. unemployment, 1929–1940</t>
        </is>
      </c>
      <c r="F8" s="18" t="inlineStr">
        <is>
          <t>BLS / Lebergott</t>
        </is>
      </c>
      <c r="G8" s="18" t="inlineStr">
        <is>
          <t>PD data — chart original</t>
        </is>
      </c>
      <c r="H8" s="19" t="inlineStr">
        <is>
          <t>View image</t>
        </is>
      </c>
      <c r="I8" s="4" t="inlineStr"/>
      <c r="J8" s="4" t="inlineStr"/>
      <c r="K8" s="4" t="inlineStr"/>
      <c r="L8" s="4" t="inlineStr"/>
      <c r="M8" s="4" t="inlineStr"/>
      <c r="N8" s="4" t="inlineStr"/>
      <c r="O8" s="20" t="inlineStr">
        <is>
          <t>VERIFIED — 1933 peak 24.9% (Lebergott). Note: Darby series ~20.6%.</t>
        </is>
      </c>
      <c r="P8" s="4" t="inlineStr"/>
    </row>
    <row r="9" ht="30" customHeight="1">
      <c r="A9" s="15" t="n">
        <v>2</v>
      </c>
      <c r="B9" s="16" t="inlineStr">
        <is>
          <t>US.46</t>
        </is>
      </c>
      <c r="C9" s="17" t="inlineStr">
        <is>
          <t>US.46_lend_lease_by_country.png</t>
        </is>
      </c>
      <c r="D9" s="15" t="inlineStr">
        <is>
          <t>Data graphic</t>
        </is>
      </c>
      <c r="E9" s="18" t="inlineStr">
        <is>
          <t>Lend-Lease aid by recipient</t>
        </is>
      </c>
      <c r="F9" s="18" t="inlineStr">
        <is>
          <t>U.S. War Dept.</t>
        </is>
      </c>
      <c r="G9" s="18" t="inlineStr">
        <is>
          <t>PD data — chart original</t>
        </is>
      </c>
      <c r="H9" s="19" t="inlineStr">
        <is>
          <t>View image</t>
        </is>
      </c>
      <c r="I9" s="4" t="inlineStr"/>
      <c r="J9" s="4" t="inlineStr"/>
      <c r="K9" s="4" t="inlineStr"/>
      <c r="L9" s="4" t="inlineStr"/>
      <c r="M9" s="4" t="inlineStr"/>
      <c r="N9" s="4" t="inlineStr"/>
      <c r="O9" s="20" t="inlineStr">
        <is>
          <t>VERIFIED (approx) — ~$50.1B total; UK 31.4 / USSR 11.3 / Fr 3.2 / China 1.6.</t>
        </is>
      </c>
      <c r="P9" s="4" t="inlineStr"/>
    </row>
    <row r="10" ht="30" customHeight="1">
      <c r="A10" s="15" t="n">
        <v>3</v>
      </c>
      <c r="B10" s="16" t="inlineStr">
        <is>
          <t>US.47</t>
        </is>
      </c>
      <c r="C10" s="17" t="inlineStr">
        <is>
          <t>US.47_holocaust_deaths_by_country.png</t>
        </is>
      </c>
      <c r="D10" s="15" t="inlineStr">
        <is>
          <t>Data graphic</t>
        </is>
      </c>
      <c r="E10" s="18" t="inlineStr">
        <is>
          <t>Jewish deaths by country (est.) — SENSITIVE</t>
        </is>
      </c>
      <c r="F10" s="18" t="inlineStr">
        <is>
          <t>USHMM</t>
        </is>
      </c>
      <c r="G10" s="18" t="inlineStr">
        <is>
          <t>PD data — chart original</t>
        </is>
      </c>
      <c r="H10" s="19" t="inlineStr">
        <is>
          <t>View image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20" t="inlineStr">
        <is>
          <t>VERIFIED (approx) — consistent w/ USHMM; ~6M total. Ger&amp;Austria set to 225,000 (applied). Labeled estimates.</t>
        </is>
      </c>
      <c r="P10" s="4" t="inlineStr"/>
    </row>
    <row r="11" ht="30" customHeight="1">
      <c r="A11" s="15" t="n">
        <v>4</v>
      </c>
      <c r="B11" s="16" t="inlineStr">
        <is>
          <t>US.48</t>
        </is>
      </c>
      <c r="C11" s="17" t="inlineStr">
        <is>
          <t>US.48_pearl_harbor_losses.png</t>
        </is>
      </c>
      <c r="D11" s="15" t="inlineStr">
        <is>
          <t>Data graphic</t>
        </is>
      </c>
      <c r="E11" s="18" t="inlineStr">
        <is>
          <t>Pearl Harbor by the numbers</t>
        </is>
      </c>
      <c r="F11" s="18" t="inlineStr">
        <is>
          <t>U.S. Navy (NHHC)</t>
        </is>
      </c>
      <c r="G11" s="18" t="inlineStr">
        <is>
          <t>PD data — chart original</t>
        </is>
      </c>
      <c r="H11" s="19" t="inlineStr">
        <is>
          <t>View image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20" t="inlineStr">
        <is>
          <t>VERIFIED — 2,403 killed / 1,178 wounded / 19 ships / 188 aircraft (NHHC).</t>
        </is>
      </c>
      <c r="P11" s="4" t="inlineStr"/>
    </row>
    <row r="12" ht="30" customHeight="1">
      <c r="A12" s="15" t="n">
        <v>5</v>
      </c>
      <c r="B12" s="16" t="inlineStr">
        <is>
          <t>US.50</t>
        </is>
      </c>
      <c r="C12" s="17" t="inlineStr">
        <is>
          <t>US.50_wwii_battle_casualties.png</t>
        </is>
      </c>
      <c r="D12" s="15" t="inlineStr">
        <is>
          <t>Data graphic</t>
        </is>
      </c>
      <c r="E12" s="18" t="inlineStr">
        <is>
          <t>U.S. killed in major battles</t>
        </is>
      </c>
      <c r="F12" s="18" t="inlineStr">
        <is>
          <t>NHHC / Army CMH</t>
        </is>
      </c>
      <c r="G12" s="18" t="inlineStr">
        <is>
          <t>PD data — chart original</t>
        </is>
      </c>
      <c r="H12" s="19" t="inlineStr">
        <is>
          <t>View image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20" t="inlineStr">
        <is>
          <t>VERIFIED — D-Day 2,501; Iwo Jima 6,821; Okinawa 12,520; Midway ≈362 (label applied).</t>
        </is>
      </c>
      <c r="P12" s="4" t="inlineStr"/>
    </row>
    <row r="13" ht="30" customHeight="1">
      <c r="A13" s="15" t="n">
        <v>6</v>
      </c>
      <c r="B13" s="16" t="inlineStr">
        <is>
          <t>US.52</t>
        </is>
      </c>
      <c r="C13" s="17" t="inlineStr">
        <is>
          <t>US.52_women_workforce_1940_45.png</t>
        </is>
      </c>
      <c r="D13" s="15" t="inlineStr">
        <is>
          <t>Data graphic</t>
        </is>
      </c>
      <c r="E13" s="18" t="inlineStr">
        <is>
          <t>Women in the labor force, 1940 vs 1945</t>
        </is>
      </c>
      <c r="F13" s="18" t="inlineStr">
        <is>
          <t>BLS / Census</t>
        </is>
      </c>
      <c r="G13" s="18" t="inlineStr">
        <is>
          <t>PD data — chart original</t>
        </is>
      </c>
      <c r="H13" s="19" t="inlineStr">
        <is>
          <t>View image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20" t="inlineStr">
        <is>
          <t>VERIFIED (approx) — 12.0M→18.6M; ~28%→~36%.</t>
        </is>
      </c>
      <c r="P13" s="4" t="inlineStr"/>
    </row>
    <row r="14" ht="30" customHeight="1">
      <c r="A14" s="15" t="n">
        <v>7</v>
      </c>
      <c r="B14" s="16" t="inlineStr">
        <is>
          <t>US.53</t>
        </is>
      </c>
      <c r="C14" s="17" t="inlineStr">
        <is>
          <t>US.53_black_migration_employment.png</t>
        </is>
      </c>
      <c r="D14" s="15" t="inlineStr">
        <is>
          <t>Data graphic</t>
        </is>
      </c>
      <c r="E14" s="18" t="inlineStr">
        <is>
          <t>Black war-production job share, 1942 vs 1945</t>
        </is>
      </c>
      <c r="F14" s="18" t="inlineStr">
        <is>
          <t>Census / FEPC</t>
        </is>
      </c>
      <c r="G14" s="18" t="inlineStr">
        <is>
          <t>PD data — chart original</t>
        </is>
      </c>
      <c r="H14" s="19" t="inlineStr">
        <is>
          <t>View image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20" t="inlineStr">
        <is>
          <t>VERIFIED (approx) — 3%→8% war jobs; ~5M migration (1940–70).</t>
        </is>
      </c>
      <c r="P14" s="4" t="inlineStr"/>
    </row>
    <row r="15" ht="30" customHeight="1">
      <c r="A15" s="15" t="n">
        <v>8</v>
      </c>
      <c r="B15" s="16" t="inlineStr">
        <is>
          <t>US.54</t>
        </is>
      </c>
      <c r="C15" s="17" t="inlineStr">
        <is>
          <t>US.54_incarceration_by_camp.png</t>
        </is>
      </c>
      <c r="D15" s="15" t="inlineStr">
        <is>
          <t>Data graphic</t>
        </is>
      </c>
      <c r="E15" s="18" t="inlineStr">
        <is>
          <t>Incarceration by WRA camp</t>
        </is>
      </c>
      <c r="F15" s="18" t="inlineStr">
        <is>
          <t>WRA (1946)</t>
        </is>
      </c>
      <c r="G15" s="18" t="inlineStr">
        <is>
          <t>PD data — chart original</t>
        </is>
      </c>
      <c r="H15" s="19" t="inlineStr">
        <is>
          <t>View image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20" t="inlineStr">
        <is>
          <t>VERIFIED — peak populations correct; total ~120,313 (WRA 1946).</t>
        </is>
      </c>
      <c r="P15" s="4" t="inlineStr"/>
    </row>
    <row r="16" ht="30" customHeight="1">
      <c r="A16" s="15" t="n">
        <v>9</v>
      </c>
      <c r="B16" s="16" t="inlineStr">
        <is>
          <t>US.55</t>
        </is>
      </c>
      <c r="C16" s="17" t="inlineStr">
        <is>
          <t>US.55_us_war_production_1941_1945.png</t>
        </is>
      </c>
      <c r="D16" s="15" t="inlineStr">
        <is>
          <t>Data graphic</t>
        </is>
      </c>
      <c r="E16" s="18" t="inlineStr">
        <is>
          <t>U.S. aircraft production, 1941–1945</t>
        </is>
      </c>
      <c r="F16" s="18" t="inlineStr">
        <is>
          <t>AAF Statistical Digest</t>
        </is>
      </c>
      <c r="G16" s="18" t="inlineStr">
        <is>
          <t>PD data — chart original</t>
        </is>
      </c>
      <c r="H16" s="19" t="inlineStr">
        <is>
          <t>View image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20" t="inlineStr">
        <is>
          <t>VERIFIED — ~300,000 total; 1944 peak 96,318 (AAF Stat Digest).</t>
        </is>
      </c>
      <c r="P16" s="4" t="inlineStr"/>
    </row>
    <row r="17" ht="30" customHeight="1">
      <c r="A17" s="15" t="n">
        <v>10</v>
      </c>
      <c r="B17" s="16" t="inlineStr">
        <is>
          <t>US.56</t>
        </is>
      </c>
      <c r="C17" s="17" t="inlineStr">
        <is>
          <t>US.56_hiroshima_nagasaki_casualties.png</t>
        </is>
      </c>
      <c r="D17" s="15" t="inlineStr">
        <is>
          <t>Data graphic</t>
        </is>
      </c>
      <c r="E17" s="18" t="inlineStr">
        <is>
          <t>Hiroshima/Nagasaki casualties (est.) — SENSITIVE</t>
        </is>
      </c>
      <c r="F17" s="18" t="inlineStr">
        <is>
          <t>Manhattan Engineer District (1946)</t>
        </is>
      </c>
      <c r="G17" s="18" t="inlineStr">
        <is>
          <t>PD data — chart original</t>
        </is>
      </c>
      <c r="H17" s="19" t="inlineStr">
        <is>
          <t>View image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20" t="inlineStr">
        <is>
          <t>VERIFIED — matches MED 1946; chart notes later totals higher. Sensitive.</t>
        </is>
      </c>
      <c r="P17" s="4" t="inlineStr"/>
    </row>
    <row r="18" ht="30" customHeight="1">
      <c r="A18" s="15" t="n">
        <v>11</v>
      </c>
      <c r="B18" s="16" t="inlineStr">
        <is>
          <t>US.58</t>
        </is>
      </c>
      <c r="C18" s="17" t="inlineStr">
        <is>
          <t>US.58_un_founding_members_timeline.png</t>
        </is>
      </c>
      <c r="D18" s="15" t="inlineStr">
        <is>
          <t>Data graphic</t>
        </is>
      </c>
      <c r="E18" s="18" t="inlineStr">
        <is>
          <t>UN membership growth, 1945–present</t>
        </is>
      </c>
      <c r="F18" s="18" t="inlineStr">
        <is>
          <t>United Nations</t>
        </is>
      </c>
      <c r="G18" s="18" t="inlineStr">
        <is>
          <t>PD data — chart original</t>
        </is>
      </c>
      <c r="H18" s="19" t="inlineStr">
        <is>
          <t>View image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20" t="inlineStr">
        <is>
          <t>VERIFIED — 51 (1945) → 193 (2011); matches UN membership table.</t>
        </is>
      </c>
      <c r="P18" s="4" t="inlineStr"/>
    </row>
    <row r="19">
      <c r="A19" s="13" t="inlineStr">
        <is>
          <t>── MAPS — to source; open the link, confirm the license, download, then accept ──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 ht="30" customHeight="1">
      <c r="A20" s="15" t="n">
        <v>12</v>
      </c>
      <c r="B20" s="16" t="inlineStr">
        <is>
          <t>US.45</t>
        </is>
      </c>
      <c r="C20" s="17" t="inlineStr">
        <is>
          <t>US.45_europe_political_map_1938.svg</t>
        </is>
      </c>
      <c r="D20" s="15" t="inlineStr">
        <is>
          <t>Map</t>
        </is>
      </c>
      <c r="E20" s="18" t="inlineStr">
        <is>
          <t>Political map of Europe, 1938</t>
        </is>
      </c>
      <c r="F20" s="18" t="inlineStr">
        <is>
          <t>Wikimedia</t>
        </is>
      </c>
      <c r="G20" s="18" t="inlineStr">
        <is>
          <t>CC BY-SA 2.5 (confirm) / build fresh</t>
        </is>
      </c>
      <c r="H20" s="19" t="inlineStr">
        <is>
          <t>View image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21" t="inlineStr">
        <is>
          <t>Sourcing pending — confirm license + subject at download.</t>
        </is>
      </c>
      <c r="P20" s="4" t="inlineStr"/>
    </row>
    <row r="21" ht="30" customHeight="1">
      <c r="A21" s="15" t="n">
        <v>13</v>
      </c>
      <c r="B21" s="16" t="inlineStr">
        <is>
          <t>US.46</t>
        </is>
      </c>
      <c r="C21" s="17" t="inlineStr">
        <is>
          <t>US.46_axis_expansion_map.jpg</t>
        </is>
      </c>
      <c r="D21" s="15" t="inlineStr">
        <is>
          <t>Map</t>
        </is>
      </c>
      <c r="E21" s="18" t="inlineStr">
        <is>
          <t>Axis expansion, 1935–1941</t>
        </is>
      </c>
      <c r="F21" s="18" t="inlineStr">
        <is>
          <t>West Point USMA Atlas</t>
        </is>
      </c>
      <c r="G21" s="18" t="inlineStr">
        <is>
          <t>PD (confirm)</t>
        </is>
      </c>
      <c r="H21" s="19" t="inlineStr">
        <is>
          <t>View image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21" t="inlineStr">
        <is>
          <t>Sourcing pending — confirm license + subject at download.</t>
        </is>
      </c>
      <c r="P21" s="4" t="inlineStr"/>
    </row>
    <row r="22" ht="30" customHeight="1">
      <c r="A22" s="15" t="n">
        <v>14</v>
      </c>
      <c r="B22" s="16" t="inlineStr">
        <is>
          <t>US.47</t>
        </is>
      </c>
      <c r="C22" s="17" t="inlineStr">
        <is>
          <t>US.47_holocaust_camps_europe_map.png</t>
        </is>
      </c>
      <c r="D22" s="15" t="inlineStr">
        <is>
          <t>Map</t>
        </is>
      </c>
      <c r="E22" s="18" t="inlineStr">
        <is>
          <t>Nazi camps across Europe</t>
        </is>
      </c>
      <c r="F22" s="18" t="inlineStr">
        <is>
          <t>Wikimedia (D. Nilsson)</t>
        </is>
      </c>
      <c r="G22" s="18" t="inlineStr">
        <is>
          <t>CC BY 3.0 (confirm)</t>
        </is>
      </c>
      <c r="H22" s="19" t="inlineStr">
        <is>
          <t>View image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21" t="inlineStr">
        <is>
          <t>Sourcing pending — confirm license. USHMM own maps are ©; do not lift.</t>
        </is>
      </c>
      <c r="P22" s="4" t="inlineStr"/>
    </row>
    <row r="23" ht="30" customHeight="1">
      <c r="A23" s="15" t="n">
        <v>15</v>
      </c>
      <c r="B23" s="16" t="inlineStr">
        <is>
          <t>US.48</t>
        </is>
      </c>
      <c r="C23" s="17" t="inlineStr">
        <is>
          <t>US.48_pearl_harbor_attack_map.png</t>
        </is>
      </c>
      <c r="D23" s="15" t="inlineStr">
        <is>
          <t>Map</t>
        </is>
      </c>
      <c r="E23" s="18" t="inlineStr">
        <is>
          <t>Ships at Pearl Harbor, Dec 7 1941</t>
        </is>
      </c>
      <c r="F23" s="18" t="inlineStr">
        <is>
          <t>U.S. Navy / NARA</t>
        </is>
      </c>
      <c r="G23" s="18" t="inlineStr">
        <is>
          <t>PD (confirm)</t>
        </is>
      </c>
      <c r="H23" s="19" t="inlineStr">
        <is>
          <t>View image</t>
        </is>
      </c>
      <c r="I23" s="4" t="inlineStr"/>
      <c r="J23" s="4" t="inlineStr"/>
      <c r="K23" s="4" t="inlineStr"/>
      <c r="L23" s="4" t="inlineStr"/>
      <c r="M23" s="4" t="inlineStr"/>
      <c r="N23" s="4" t="inlineStr"/>
      <c r="O23" s="21" t="inlineStr">
        <is>
          <t>Sourcing pending — confirm license + subject at download.</t>
        </is>
      </c>
      <c r="P23" s="4" t="inlineStr"/>
    </row>
    <row r="24" ht="30" customHeight="1">
      <c r="A24" s="15" t="n">
        <v>16</v>
      </c>
      <c r="B24" s="16" t="inlineStr">
        <is>
          <t>US.49</t>
        </is>
      </c>
      <c r="C24" s="17" t="inlineStr">
        <is>
          <t>US.49_allies_vs_axis_world_map.svg</t>
        </is>
      </c>
      <c r="D24" s="15" t="inlineStr">
        <is>
          <t>Map</t>
        </is>
      </c>
      <c r="E24" s="18" t="inlineStr">
        <is>
          <t>Allies vs. Axis (world)</t>
        </is>
      </c>
      <c r="F24" s="18" t="inlineStr">
        <is>
          <t>Wikimedia</t>
        </is>
      </c>
      <c r="G24" s="18" t="inlineStr">
        <is>
          <t>CC BY-SA 4.0 (confirm) / build fresh</t>
        </is>
      </c>
      <c r="H24" s="19" t="inlineStr">
        <is>
          <t>View image</t>
        </is>
      </c>
      <c r="I24" s="4" t="inlineStr"/>
      <c r="J24" s="4" t="inlineStr"/>
      <c r="K24" s="4" t="inlineStr"/>
      <c r="L24" s="4" t="inlineStr"/>
      <c r="M24" s="4" t="inlineStr"/>
      <c r="N24" s="4" t="inlineStr"/>
      <c r="O24" s="21" t="inlineStr">
        <is>
          <t>Sourcing pending — confirm license + subject at download.</t>
        </is>
      </c>
      <c r="P24" s="4" t="inlineStr"/>
    </row>
    <row r="25" ht="30" customHeight="1">
      <c r="A25" s="15" t="n">
        <v>17</v>
      </c>
      <c r="B25" s="16" t="inlineStr">
        <is>
          <t>US.50</t>
        </is>
      </c>
      <c r="C25" s="17" t="inlineStr">
        <is>
          <t>US.50_dday_normandy_map.jpg</t>
        </is>
      </c>
      <c r="D25" s="15" t="inlineStr">
        <is>
          <t>Map</t>
        </is>
      </c>
      <c r="E25" s="18" t="inlineStr">
        <is>
          <t>D-Day / Normandy invasion</t>
        </is>
      </c>
      <c r="F25" s="18" t="inlineStr">
        <is>
          <t>U.S. Army CMH via LOC</t>
        </is>
      </c>
      <c r="G25" s="18" t="inlineStr">
        <is>
          <t>PD (confirm)</t>
        </is>
      </c>
      <c r="H25" s="19" t="inlineStr">
        <is>
          <t>View image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21" t="inlineStr">
        <is>
          <t>Sourcing pending — confirm license + subject at download.</t>
        </is>
      </c>
      <c r="P25" s="4" t="inlineStr"/>
    </row>
    <row r="26" ht="30" customHeight="1">
      <c r="A26" s="15" t="n">
        <v>18</v>
      </c>
      <c r="B26" s="16" t="inlineStr">
        <is>
          <t>US.50</t>
        </is>
      </c>
      <c r="C26" s="17" t="inlineStr">
        <is>
          <t>US.50_pacific_island_hopping_map.jpg</t>
        </is>
      </c>
      <c r="D26" s="15" t="inlineStr">
        <is>
          <t>Map</t>
        </is>
      </c>
      <c r="E26" s="18" t="inlineStr">
        <is>
          <t>Pacific Theater / island-hopping</t>
        </is>
      </c>
      <c r="F26" s="18" t="inlineStr">
        <is>
          <t>U.S. Army CMH</t>
        </is>
      </c>
      <c r="G26" s="18" t="inlineStr">
        <is>
          <t>PD (confirm)</t>
        </is>
      </c>
      <c r="H26" s="19" t="inlineStr">
        <is>
          <t>View image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21" t="inlineStr">
        <is>
          <t>Sourcing pending — confirm license + subject at download.</t>
        </is>
      </c>
      <c r="P26" s="4" t="inlineStr"/>
    </row>
    <row r="27" ht="30" customHeight="1">
      <c r="A27" s="15" t="n">
        <v>19</v>
      </c>
      <c r="B27" s="16" t="inlineStr">
        <is>
          <t>US.53</t>
        </is>
      </c>
      <c r="C27" s="17" t="inlineStr">
        <is>
          <t>US.53_great_migration_map.jpg</t>
        </is>
      </c>
      <c r="D27" s="15" t="inlineStr">
        <is>
          <t>Map</t>
        </is>
      </c>
      <c r="E27" s="18" t="inlineStr">
        <is>
          <t>The Great Migration, 1910–1970</t>
        </is>
      </c>
      <c r="F27" s="18" t="inlineStr">
        <is>
          <t>U.S. Census Bureau</t>
        </is>
      </c>
      <c r="G27" s="18" t="inlineStr">
        <is>
          <t>PD (confirm)</t>
        </is>
      </c>
      <c r="H27" s="19" t="inlineStr">
        <is>
          <t>View image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21" t="inlineStr">
        <is>
          <t>Sourcing pending — confirm license + subject at download.</t>
        </is>
      </c>
      <c r="P27" s="4" t="inlineStr"/>
    </row>
    <row r="28" ht="30" customHeight="1">
      <c r="A28" s="15" t="n">
        <v>20</v>
      </c>
      <c r="B28" s="16" t="inlineStr">
        <is>
          <t>US.54</t>
        </is>
      </c>
      <c r="C28" s="17" t="inlineStr">
        <is>
          <t>US.54_wra_camps_map.jpg</t>
        </is>
      </c>
      <c r="D28" s="15" t="inlineStr">
        <is>
          <t>Map</t>
        </is>
      </c>
      <c r="E28" s="18" t="inlineStr">
        <is>
          <t>WRA incarceration camp locations</t>
        </is>
      </c>
      <c r="F28" s="18" t="inlineStr">
        <is>
          <t>National Park Service</t>
        </is>
      </c>
      <c r="G28" s="18" t="inlineStr">
        <is>
          <t>PD (confirm)</t>
        </is>
      </c>
      <c r="H28" s="19" t="inlineStr">
        <is>
          <t>View image</t>
        </is>
      </c>
      <c r="I28" s="4" t="inlineStr"/>
      <c r="J28" s="4" t="inlineStr"/>
      <c r="K28" s="4" t="inlineStr"/>
      <c r="L28" s="4" t="inlineStr"/>
      <c r="M28" s="4" t="inlineStr"/>
      <c r="N28" s="4" t="inlineStr"/>
      <c r="O28" s="21" t="inlineStr">
        <is>
          <t>Sourcing pending — confirm license + subject at download.</t>
        </is>
      </c>
      <c r="P28" s="4" t="inlineStr"/>
    </row>
    <row r="29" ht="30" customHeight="1">
      <c r="A29" s="15" t="n">
        <v>21</v>
      </c>
      <c r="B29" s="16" t="inlineStr">
        <is>
          <t>US.56</t>
        </is>
      </c>
      <c r="C29" s="17" t="inlineStr">
        <is>
          <t>US.56_manhattan_project_sites_map.svg</t>
        </is>
      </c>
      <c r="D29" s="15" t="inlineStr">
        <is>
          <t>Map</t>
        </is>
      </c>
      <c r="E29" s="18" t="inlineStr">
        <is>
          <t>Manhattan Project sites (Oak Ridge TN)</t>
        </is>
      </c>
      <c r="F29" s="18" t="inlineStr">
        <is>
          <t>Wikimedia / OSTI</t>
        </is>
      </c>
      <c r="G29" s="18" t="inlineStr">
        <is>
          <t>CC BY-SA 3.0 or OSTI PD (confirm)</t>
        </is>
      </c>
      <c r="H29" s="19" t="inlineStr">
        <is>
          <t>View image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21" t="inlineStr">
        <is>
          <t>Sourcing pending — prefer OSTI PD map; confirm license.</t>
        </is>
      </c>
      <c r="P29" s="4" t="inlineStr"/>
    </row>
    <row r="30" ht="30" customHeight="1">
      <c r="A30" s="15" t="n">
        <v>22</v>
      </c>
      <c r="B30" s="16" t="inlineStr">
        <is>
          <t>US.57</t>
        </is>
      </c>
      <c r="C30" s="17" t="inlineStr">
        <is>
          <t>US.57_germany_occupation_zones_map.jpg</t>
        </is>
      </c>
      <c r="D30" s="15" t="inlineStr">
        <is>
          <t>Map</t>
        </is>
      </c>
      <c r="E30" s="18" t="inlineStr">
        <is>
          <t>Allied occupation zones of Germany, 1945</t>
        </is>
      </c>
      <c r="F30" s="18" t="inlineStr">
        <is>
          <t>U.S. Army</t>
        </is>
      </c>
      <c r="G30" s="18" t="inlineStr">
        <is>
          <t>PD (confirm)</t>
        </is>
      </c>
      <c r="H30" s="19" t="inlineStr">
        <is>
          <t>View image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21" t="inlineStr">
        <is>
          <t>Sourcing pending — confirm license + subject at download.</t>
        </is>
      </c>
      <c r="P30" s="4" t="inlineStr"/>
    </row>
    <row r="31" ht="30" customHeight="1">
      <c r="A31" s="15" t="n">
        <v>23</v>
      </c>
      <c r="B31" s="16" t="inlineStr">
        <is>
          <t>US.58</t>
        </is>
      </c>
      <c r="C31" s="17" t="inlineStr">
        <is>
          <t>US.58_un_51_member_states_map.jpg</t>
        </is>
      </c>
      <c r="D31" s="15" t="inlineStr">
        <is>
          <t>Map</t>
        </is>
      </c>
      <c r="E31" s="18" t="inlineStr">
        <is>
          <t>UN 51 founding members</t>
        </is>
      </c>
      <c r="F31" s="18" t="inlineStr">
        <is>
          <t>U.S. War Dept. Newsmap</t>
        </is>
      </c>
      <c r="G31" s="18" t="inlineStr">
        <is>
          <t>PD (confirm)</t>
        </is>
      </c>
      <c r="H31" s="19" t="inlineStr">
        <is>
          <t>View image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21" t="inlineStr">
        <is>
          <t>Sourcing pending — confirm license + subject at download.</t>
        </is>
      </c>
      <c r="P31" s="4" t="inlineStr"/>
    </row>
  </sheetData>
  <mergeCells count="9">
    <mergeCell ref="J3:K3"/>
    <mergeCell ref="B3:D3"/>
    <mergeCell ref="M3:P3"/>
    <mergeCell ref="A1:P1"/>
    <mergeCell ref="K4:P4"/>
    <mergeCell ref="F3:H3"/>
    <mergeCell ref="A7:P7"/>
    <mergeCell ref="A19:P19"/>
    <mergeCell ref="A2:P2"/>
  </mergeCells>
  <dataValidations count="4">
    <dataValidation sqref="I8:I31" showDropDown="0" showInputMessage="0" showErrorMessage="0" allowBlank="1" type="list">
      <formula1>"Yes,No"</formula1>
    </dataValidation>
    <dataValidation sqref="J8:J31" showDropDown="0" showInputMessage="0" showErrorMessage="0" allowBlank="1" type="list">
      <formula1>"Yes,No,N/A"</formula1>
    </dataValidation>
    <dataValidation sqref="K8:K31" showDropDown="0" showInputMessage="0" showErrorMessage="0" allowBlank="1" type="list">
      <formula1>"Yes,No,Pending"</formula1>
    </dataValidation>
    <dataValidation sqref="L8:L31" showDropDown="0" showInputMessage="0" showErrorMessage="0" allowBlank="1" type="list">
      <formula1>"Accept,Needs fix,Reject"</formula1>
    </dataValidation>
  </dataValidations>
  <hyperlinks>
    <hyperlink xmlns:r="http://schemas.openxmlformats.org/officeDocument/2006/relationships" ref="H8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16" r:id="rId9"/>
    <hyperlink xmlns:r="http://schemas.openxmlformats.org/officeDocument/2006/relationships" ref="H17" r:id="rId10"/>
    <hyperlink xmlns:r="http://schemas.openxmlformats.org/officeDocument/2006/relationships" ref="H18" r:id="rId11"/>
    <hyperlink xmlns:r="http://schemas.openxmlformats.org/officeDocument/2006/relationships" ref="H20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22" t="inlineStr">
        <is>
          <t>U.S. History Hack — Unit 6 Visual QC Roster — how to use</t>
        </is>
      </c>
    </row>
    <row r="2">
      <c r="A2" s="23" t="inlineStr"/>
    </row>
    <row r="3">
      <c r="A3" s="23" t="inlineStr">
        <is>
          <t>Tab 1 (Visual QC): the 11 built data graphics + 12 maps to source — your active review.</t>
        </is>
      </c>
    </row>
    <row r="4">
      <c r="A4" s="23" t="inlineStr">
        <is>
          <t>Tab 3 (Photos): ~42 WWII photos already in your Drive, already cited — a completeness record + acceptance sign-off.</t>
        </is>
      </c>
    </row>
    <row r="5">
      <c r="A5" s="23" t="inlineStr"/>
    </row>
    <row r="6">
      <c r="A6" s="23" t="inlineStr">
        <is>
          <t>1. Fill in Reviewer, Role, Date, Signature at the top of each tab.</t>
        </is>
      </c>
    </row>
    <row r="7">
      <c r="A7" s="23" t="inlineStr">
        <is>
          <t>2. Click 'View image' / 'View in Drive' to open each asset.</t>
        </is>
      </c>
    </row>
    <row r="8">
      <c r="A8" s="23" t="inlineStr">
        <is>
          <t>3. Set the dropdowns and a Decision (Accept / Needs fix / Reject); add initials, date, notes.</t>
        </is>
      </c>
    </row>
    <row r="9">
      <c r="A9" s="23" t="inlineStr">
        <is>
          <t>4. 'Fact-check (analyst pre-pass)' is my review — concur or override. Green = VERIFIED.</t>
        </is>
      </c>
    </row>
    <row r="10">
      <c r="A10" s="23" t="inlineStr"/>
    </row>
    <row r="11">
      <c r="A11" s="24" t="inlineStr">
        <is>
          <t>Accept only when Viewed = Yes, Historically accurate = Yes, and License OK = Yes.</t>
        </is>
      </c>
    </row>
    <row r="12">
      <c r="A12" s="23" t="inlineStr"/>
    </row>
    <row r="13">
      <c r="A13" s="25" t="inlineStr">
        <is>
          <t>Fact-check flags to action (see FACTCHECK_REPORT.md for detail):</t>
        </is>
      </c>
    </row>
    <row r="14">
      <c r="A14" s="23" t="inlineStr">
        <is>
          <t>• OUT OF ERA — remove from Unit 6: US.57 interstate highway (1956) and US.58 Truman/NATO (1949) are Cold War.</t>
        </is>
      </c>
    </row>
    <row r="15">
      <c r="A15" s="23" t="inlineStr">
        <is>
          <t>• RIGHTS — Iwo Jima flag-raising (US.49, US.51): widely PD (LOC/Wikimedia) but AP-asserted; use the LOC copy.</t>
        </is>
      </c>
    </row>
    <row r="16">
      <c r="A16" s="23" t="inlineStr">
        <is>
          <t>• PLACEMENT — 5 photos filed under a standard whose topic differs; confirm intended use or re-tag.</t>
        </is>
      </c>
    </row>
    <row r="17">
      <c r="A17" s="23" t="inlineStr">
        <is>
          <t>• SENSITIVE — US.47 Holocaust &amp; US.56 atomic charts are accurate; kept sober + labeled 'estimates.'</t>
        </is>
      </c>
    </row>
    <row r="18">
      <c r="A18" s="23" t="inlineStr">
        <is>
          <t>• Data graphics: all 11 VERIFIED. Optional tweaks: US.50 Midway '≈362'; US.47 Ger&amp;Austria ~225,000.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2" customWidth="1" min="3" max="3"/>
    <col width="12" customWidth="1" min="4" max="4"/>
    <col width="11" customWidth="1" min="5" max="5"/>
    <col width="20" customWidth="1" min="6" max="6"/>
    <col width="44" customWidth="1" min="7" max="7"/>
    <col width="12" customWidth="1" min="8" max="8"/>
    <col width="10" customWidth="1" min="9" max="9"/>
    <col width="11" customWidth="1" min="10" max="10"/>
    <col width="22" customWidth="1" min="11" max="11"/>
  </cols>
  <sheetData>
    <row r="1" ht="24" customHeight="1">
      <c r="A1" s="26" t="inlineStr">
        <is>
          <t>U.S. History Hack™ — Unit 6 · Photos already cited (completeness + acceptance record)</t>
        </is>
      </c>
    </row>
    <row r="2">
      <c r="A2" s="2" t="inlineStr">
        <is>
          <t>These WWII photos are already sourced &amp; cited in Google Drive. Citation is done; this tab records the historian pre-pass + your acceptance. Yellow = you fill in.</t>
        </is>
      </c>
    </row>
    <row r="3">
      <c r="A3" s="3" t="inlineStr">
        <is>
          <t>Reviewer:</t>
        </is>
      </c>
      <c r="B3" s="4" t="inlineStr"/>
      <c r="E3" s="5" t="inlineStr">
        <is>
          <t>Review date:</t>
        </is>
      </c>
      <c r="F3" s="4" t="inlineStr"/>
      <c r="H3" s="5" t="inlineStr">
        <is>
          <t>Signature:</t>
        </is>
      </c>
      <c r="I3" s="4" t="inlineStr"/>
    </row>
    <row r="5" ht="28" customHeight="1">
      <c r="A5" s="12" t="inlineStr">
        <is>
          <t>#</t>
        </is>
      </c>
      <c r="B5" s="12" t="inlineStr">
        <is>
          <t>Std tag</t>
        </is>
      </c>
      <c r="C5" s="12" t="inlineStr">
        <is>
          <t>Filename</t>
        </is>
      </c>
      <c r="D5" s="12" t="inlineStr">
        <is>
          <t>Date claim / subject</t>
        </is>
      </c>
      <c r="E5" s="12" t="inlineStr">
        <is>
          <t>View</t>
        </is>
      </c>
      <c r="F5" s="12" t="inlineStr">
        <is>
          <t>Status</t>
        </is>
      </c>
      <c r="G5" s="12" t="inlineStr">
        <is>
          <t>Fact-check (analyst pre-pass)</t>
        </is>
      </c>
      <c r="H5" s="12" t="inlineStr">
        <is>
          <t>Decision</t>
        </is>
      </c>
      <c r="I5" s="12" t="inlineStr">
        <is>
          <t>Reviewer</t>
        </is>
      </c>
      <c r="J5" s="12" t="inlineStr">
        <is>
          <t>Date</t>
        </is>
      </c>
      <c r="K5" s="12" t="inlineStr">
        <is>
          <t>Notes</t>
        </is>
      </c>
    </row>
    <row r="6" ht="30" customHeight="1">
      <c r="A6" s="15" t="n">
        <v>1</v>
      </c>
      <c r="B6" s="16" t="inlineStr">
        <is>
          <t>US.45</t>
        </is>
      </c>
      <c r="C6" s="17" t="inlineStr">
        <is>
          <t>US.45_mussolini-hitler-munich-1940.jpg</t>
        </is>
      </c>
      <c r="D6" s="27" t="inlineStr">
        <is>
          <t>mussolini hitler munich 1940</t>
        </is>
      </c>
      <c r="E6" s="19" t="inlineStr">
        <is>
          <t>View in Drive</t>
        </is>
      </c>
      <c r="F6" s="27" t="inlineStr">
        <is>
          <t>Cited (Drive) — prev. reviewed</t>
        </is>
      </c>
      <c r="G6" s="21" t="inlineStr">
        <is>
          <t>Date/subject plausible (Mussolini &amp; Hitler, Munich 1940). OK.</t>
        </is>
      </c>
      <c r="H6" s="4" t="inlineStr"/>
      <c r="I6" s="4" t="inlineStr"/>
      <c r="J6" s="4" t="inlineStr"/>
      <c r="K6" s="4" t="inlineStr"/>
    </row>
    <row r="7" ht="30" customHeight="1">
      <c r="A7" s="15" t="n">
        <v>2</v>
      </c>
      <c r="B7" s="16" t="inlineStr">
        <is>
          <t>US.45</t>
        </is>
      </c>
      <c r="C7" s="17" t="inlineStr">
        <is>
          <t>US.45_benito-mussolini-portrait.jpg</t>
        </is>
      </c>
      <c r="D7" s="27" t="inlineStr">
        <is>
          <t>benito mussolini portrait</t>
        </is>
      </c>
      <c r="E7" s="19" t="inlineStr">
        <is>
          <t>View in Drive</t>
        </is>
      </c>
      <c r="F7" s="27" t="inlineStr">
        <is>
          <t>Cited (Drive) — prev. reviewed</t>
        </is>
      </c>
      <c r="G7" s="21" t="inlineStr">
        <is>
          <t>Portrait. OK.</t>
        </is>
      </c>
      <c r="H7" s="4" t="inlineStr"/>
      <c r="I7" s="4" t="inlineStr"/>
      <c r="J7" s="4" t="inlineStr"/>
      <c r="K7" s="4" t="inlineStr"/>
    </row>
    <row r="8" ht="30" customHeight="1">
      <c r="A8" s="15" t="n">
        <v>3</v>
      </c>
      <c r="B8" s="16" t="inlineStr">
        <is>
          <t>US.45</t>
        </is>
      </c>
      <c r="C8" s="17" t="inlineStr">
        <is>
          <t>US.45_nuremberg-nazi-rally-1935.jpg</t>
        </is>
      </c>
      <c r="D8" s="27" t="inlineStr">
        <is>
          <t>nuremberg nazi rally 1935</t>
        </is>
      </c>
      <c r="E8" s="19" t="inlineStr">
        <is>
          <t>View in Drive</t>
        </is>
      </c>
      <c r="F8" s="27" t="inlineStr">
        <is>
          <t>Cited (Drive) — prev. reviewed</t>
        </is>
      </c>
      <c r="G8" s="21" t="inlineStr">
        <is>
          <t>Nuremberg Rally 1935 (Nuremberg Laws). OK.</t>
        </is>
      </c>
      <c r="H8" s="4" t="inlineStr"/>
      <c r="I8" s="4" t="inlineStr"/>
      <c r="J8" s="4" t="inlineStr"/>
      <c r="K8" s="4" t="inlineStr"/>
    </row>
    <row r="9" ht="30" customHeight="1">
      <c r="A9" s="15" t="n">
        <v>4</v>
      </c>
      <c r="B9" s="16" t="inlineStr">
        <is>
          <t>US.46</t>
        </is>
      </c>
      <c r="C9" s="17" t="inlineStr">
        <is>
          <t>US.46_fdr-signing-declaration-war.jpg</t>
        </is>
      </c>
      <c r="D9" s="27" t="inlineStr">
        <is>
          <t>fdr signing declaration war</t>
        </is>
      </c>
      <c r="E9" s="19" t="inlineStr">
        <is>
          <t>View in Drive</t>
        </is>
      </c>
      <c r="F9" s="27" t="inlineStr">
        <is>
          <t>Cited (Drive) — prev. reviewed</t>
        </is>
      </c>
      <c r="G9" s="21" t="inlineStr">
        <is>
          <t>FDR signs war declaration, Dec 8 1941. OK.</t>
        </is>
      </c>
      <c r="H9" s="4" t="inlineStr"/>
      <c r="I9" s="4" t="inlineStr"/>
      <c r="J9" s="4" t="inlineStr"/>
      <c r="K9" s="4" t="inlineStr"/>
    </row>
    <row r="10" ht="30" customHeight="1">
      <c r="A10" s="15" t="n">
        <v>5</v>
      </c>
      <c r="B10" s="16" t="inlineStr">
        <is>
          <t>US.46</t>
        </is>
      </c>
      <c r="C10" s="17" t="inlineStr">
        <is>
          <t>US.46_fdr-fireside-chat.jpg</t>
        </is>
      </c>
      <c r="D10" s="27" t="inlineStr">
        <is>
          <t>fdr fireside chat</t>
        </is>
      </c>
      <c r="E10" s="19" t="inlineStr">
        <is>
          <t>View in Drive</t>
        </is>
      </c>
      <c r="F10" s="27" t="inlineStr">
        <is>
          <t>Cited (Drive) — prev. reviewed</t>
        </is>
      </c>
      <c r="G10" s="21" t="inlineStr">
        <is>
          <t>FDR fireside chat. OK (near-dup).</t>
        </is>
      </c>
      <c r="H10" s="4" t="inlineStr"/>
      <c r="I10" s="4" t="inlineStr"/>
      <c r="J10" s="4" t="inlineStr"/>
      <c r="K10" s="4" t="inlineStr"/>
    </row>
    <row r="11" ht="30" customHeight="1">
      <c r="A11" s="15" t="n">
        <v>6</v>
      </c>
      <c r="B11" s="16" t="inlineStr">
        <is>
          <t>US.46</t>
        </is>
      </c>
      <c r="C11" s="17" t="inlineStr">
        <is>
          <t>US.46_fdr-fireside-chat-1941.jpg</t>
        </is>
      </c>
      <c r="D11" s="27" t="inlineStr">
        <is>
          <t>fdr fireside chat 1941</t>
        </is>
      </c>
      <c r="E11" s="19" t="inlineStr">
        <is>
          <t>View in Drive</t>
        </is>
      </c>
      <c r="F11" s="27" t="inlineStr">
        <is>
          <t>Cited (Drive) — prev. reviewed</t>
        </is>
      </c>
      <c r="G11" s="21" t="inlineStr">
        <is>
          <t>FDR fireside chat, 1941. OK (near-dup).</t>
        </is>
      </c>
      <c r="H11" s="4" t="inlineStr"/>
      <c r="I11" s="4" t="inlineStr"/>
      <c r="J11" s="4" t="inlineStr"/>
      <c r="K11" s="4" t="inlineStr"/>
    </row>
    <row r="12" ht="30" customHeight="1">
      <c r="A12" s="15" t="n">
        <v>7</v>
      </c>
      <c r="B12" s="16" t="inlineStr">
        <is>
          <t>US.47</t>
        </is>
      </c>
      <c r="C12" s="17" t="inlineStr">
        <is>
          <t>US.47_dachau-liberation-1945.jpg</t>
        </is>
      </c>
      <c r="D12" s="27" t="inlineStr">
        <is>
          <t>dachau liberation 1945</t>
        </is>
      </c>
      <c r="E12" s="19" t="inlineStr">
        <is>
          <t>View in Drive</t>
        </is>
      </c>
      <c r="F12" s="27" t="inlineStr">
        <is>
          <t>Cited (Drive) — prev. reviewed</t>
        </is>
      </c>
      <c r="G12" s="21" t="inlineStr">
        <is>
          <t>Dachau liberated Apr 29 1945. OK. Sensitive.</t>
        </is>
      </c>
      <c r="H12" s="4" t="inlineStr"/>
      <c r="I12" s="4" t="inlineStr"/>
      <c r="J12" s="4" t="inlineStr"/>
      <c r="K12" s="4" t="inlineStr"/>
    </row>
    <row r="13" ht="30" customHeight="1">
      <c r="A13" s="15" t="n">
        <v>8</v>
      </c>
      <c r="B13" s="16" t="inlineStr">
        <is>
          <t>US.47</t>
        </is>
      </c>
      <c r="C13" s="17" t="inlineStr">
        <is>
          <t>US.47_buchenwald-survivors-1945.jpg</t>
        </is>
      </c>
      <c r="D13" s="27" t="inlineStr">
        <is>
          <t>buchenwald survivors 1945</t>
        </is>
      </c>
      <c r="E13" s="19" t="inlineStr">
        <is>
          <t>View in Drive</t>
        </is>
      </c>
      <c r="F13" s="27" t="inlineStr">
        <is>
          <t>Cited (Drive) — prev. reviewed</t>
        </is>
      </c>
      <c r="G13" s="21" t="inlineStr">
        <is>
          <t>Buchenwald, Apr 1945. OK. Sensitive (near-dup).</t>
        </is>
      </c>
      <c r="H13" s="4" t="inlineStr"/>
      <c r="I13" s="4" t="inlineStr"/>
      <c r="J13" s="4" t="inlineStr"/>
      <c r="K13" s="4" t="inlineStr"/>
    </row>
    <row r="14" ht="30" customHeight="1">
      <c r="A14" s="15" t="n">
        <v>9</v>
      </c>
      <c r="B14" s="16" t="inlineStr">
        <is>
          <t>US.47</t>
        </is>
      </c>
      <c r="C14" s="17" t="inlineStr">
        <is>
          <t>US.47_buchenwald-liberation-1945.jpg</t>
        </is>
      </c>
      <c r="D14" s="27" t="inlineStr">
        <is>
          <t>buchenwald liberation 1945</t>
        </is>
      </c>
      <c r="E14" s="19" t="inlineStr">
        <is>
          <t>View in Drive</t>
        </is>
      </c>
      <c r="F14" s="27" t="inlineStr">
        <is>
          <t>Cited (Drive) — prev. reviewed</t>
        </is>
      </c>
      <c r="G14" s="21" t="inlineStr">
        <is>
          <t>Buchenwald Apr 16 1945 (NARA). OK. Sensitive (near-dup).</t>
        </is>
      </c>
      <c r="H14" s="4" t="inlineStr"/>
      <c r="I14" s="4" t="inlineStr"/>
      <c r="J14" s="4" t="inlineStr"/>
      <c r="K14" s="4" t="inlineStr"/>
    </row>
    <row r="15" ht="30" customHeight="1">
      <c r="A15" s="15" t="n">
        <v>10</v>
      </c>
      <c r="B15" s="16" t="inlineStr">
        <is>
          <t>US.48</t>
        </is>
      </c>
      <c r="C15" s="17" t="inlineStr">
        <is>
          <t>US.48_fdr-day-of-infamy-speech-1941.jpg</t>
        </is>
      </c>
      <c r="D15" s="27" t="inlineStr">
        <is>
          <t>fdr day of infamy speech 1941</t>
        </is>
      </c>
      <c r="E15" s="19" t="inlineStr">
        <is>
          <t>View in Drive</t>
        </is>
      </c>
      <c r="F15" s="27" t="inlineStr">
        <is>
          <t>Cited (Drive) — prev. reviewed</t>
        </is>
      </c>
      <c r="G15" s="21" t="inlineStr">
        <is>
          <t>FDR 'Infamy' address, Dec 8 1941. OK.</t>
        </is>
      </c>
      <c r="H15" s="4" t="inlineStr"/>
      <c r="I15" s="4" t="inlineStr"/>
      <c r="J15" s="4" t="inlineStr"/>
      <c r="K15" s="4" t="inlineStr"/>
    </row>
    <row r="16" ht="30" customHeight="1">
      <c r="A16" s="15" t="n">
        <v>11</v>
      </c>
      <c r="B16" s="16" t="inlineStr">
        <is>
          <t>US.48</t>
        </is>
      </c>
      <c r="C16" s="17" t="inlineStr">
        <is>
          <t>US.48_pearl-harbor-uss-shaw-1941.jpg</t>
        </is>
      </c>
      <c r="D16" s="27" t="inlineStr">
        <is>
          <t>pearl harbor uss shaw 1941</t>
        </is>
      </c>
      <c r="E16" s="19" t="inlineStr">
        <is>
          <t>View in Drive</t>
        </is>
      </c>
      <c r="F16" s="27" t="inlineStr">
        <is>
          <t>Cited (Drive) — prev. reviewed</t>
        </is>
      </c>
      <c r="G16" s="21" t="inlineStr">
        <is>
          <t>USS Shaw explosion, Dec 7 1941. OK.</t>
        </is>
      </c>
      <c r="H16" s="4" t="inlineStr"/>
      <c r="I16" s="4" t="inlineStr"/>
      <c r="J16" s="4" t="inlineStr"/>
      <c r="K16" s="4" t="inlineStr"/>
    </row>
    <row r="17" ht="30" customHeight="1">
      <c r="A17" s="15" t="n">
        <v>12</v>
      </c>
      <c r="B17" s="16" t="inlineStr">
        <is>
          <t>US.48</t>
        </is>
      </c>
      <c r="C17" s="17" t="inlineStr">
        <is>
          <t>US.48_women_welders_wwii.jpg</t>
        </is>
      </c>
      <c r="D17" s="27" t="inlineStr">
        <is>
          <t>women_welders_wwii</t>
        </is>
      </c>
      <c r="E17" s="19" t="inlineStr">
        <is>
          <t>View in Drive</t>
        </is>
      </c>
      <c r="F17" s="27" t="inlineStr">
        <is>
          <t>Cited (Drive) — prev. reviewed</t>
        </is>
      </c>
      <c r="G17" s="21" t="inlineStr">
        <is>
          <t>RE-TAG -&gt; US.52 (Women in WWII): rename Drive prefix to US.52_. Home-front women workers.</t>
        </is>
      </c>
      <c r="H17" s="4" t="inlineStr"/>
      <c r="I17" s="4" t="inlineStr"/>
      <c r="J17" s="4" t="inlineStr"/>
      <c r="K17" s="4" t="inlineStr"/>
    </row>
    <row r="18" ht="30" customHeight="1">
      <c r="A18" s="15" t="n">
        <v>13</v>
      </c>
      <c r="B18" s="16" t="inlineStr">
        <is>
          <t>US.49</t>
        </is>
      </c>
      <c r="C18" s="17" t="inlineStr">
        <is>
          <t>US.49_big-three-yalta-conference-1945.jpg</t>
        </is>
      </c>
      <c r="D18" s="27" t="inlineStr">
        <is>
          <t>big three yalta conference 1945</t>
        </is>
      </c>
      <c r="E18" s="19" t="inlineStr">
        <is>
          <t>View in Drive</t>
        </is>
      </c>
      <c r="F18" s="27" t="inlineStr">
        <is>
          <t>Cited (Drive) — prev. reviewed</t>
        </is>
      </c>
      <c r="G18" s="21" t="inlineStr">
        <is>
          <t>Big Three, Yalta Feb 1945. OK (leaders).</t>
        </is>
      </c>
      <c r="H18" s="4" t="inlineStr"/>
      <c r="I18" s="4" t="inlineStr"/>
      <c r="J18" s="4" t="inlineStr"/>
      <c r="K18" s="4" t="inlineStr"/>
    </row>
    <row r="19" ht="30" customHeight="1">
      <c r="A19" s="15" t="n">
        <v>14</v>
      </c>
      <c r="B19" s="16" t="inlineStr">
        <is>
          <t>US.49</t>
        </is>
      </c>
      <c r="C19" s="17" t="inlineStr">
        <is>
          <t>US.49_war_bonds_poster_wwii.jpg</t>
        </is>
      </c>
      <c r="D19" s="27" t="inlineStr">
        <is>
          <t>war_bonds_poster_wwii</t>
        </is>
      </c>
      <c r="E19" s="19" t="inlineStr">
        <is>
          <t>View in Drive</t>
        </is>
      </c>
      <c r="F19" s="27" t="inlineStr">
        <is>
          <t>Cited (Drive) — prev. reviewed</t>
        </is>
      </c>
      <c r="G19" s="21" t="inlineStr">
        <is>
          <t>RE-TAG -&gt; US.55 (Home Front): rename Drive prefix to US.55_. War-bonds poster.</t>
        </is>
      </c>
      <c r="H19" s="4" t="inlineStr"/>
      <c r="I19" s="4" t="inlineStr"/>
      <c r="J19" s="4" t="inlineStr"/>
      <c r="K19" s="4" t="inlineStr"/>
    </row>
    <row r="20" ht="30" customHeight="1">
      <c r="A20" s="15" t="n">
        <v>15</v>
      </c>
      <c r="B20" s="16" t="inlineStr">
        <is>
          <t>US.49</t>
        </is>
      </c>
      <c r="C20" s="17" t="inlineStr">
        <is>
          <t>US.49_iwo-jima-flag-raising-1945.jpg</t>
        </is>
      </c>
      <c r="D20" s="27" t="inlineStr">
        <is>
          <t>iwo jima flag raising 1945</t>
        </is>
      </c>
      <c r="E20" s="19" t="inlineStr">
        <is>
          <t>View in Drive</t>
        </is>
      </c>
      <c r="F20" s="27" t="inlineStr">
        <is>
          <t>Cited (Drive) — prev. reviewed</t>
        </is>
      </c>
      <c r="G20" s="21" t="inlineStr">
        <is>
          <t>CITE LOC: Rosenthal (AP), Feb 23 1945 — use the Library of Congress Prints &amp; Photographs PUBLIC-DOMAIN copy (loc.gov item 96515062; confirm LC call no.). PD (copyright not renewed). Topic also fits US.50.</t>
        </is>
      </c>
      <c r="H20" s="4" t="inlineStr"/>
      <c r="I20" s="4" t="inlineStr"/>
      <c r="J20" s="4" t="inlineStr"/>
      <c r="K20" s="4" t="inlineStr"/>
    </row>
    <row r="21" ht="30" customHeight="1">
      <c r="A21" s="15" t="n">
        <v>16</v>
      </c>
      <c r="B21" s="16" t="inlineStr">
        <is>
          <t>US.50</t>
        </is>
      </c>
      <c r="C21" s="17" t="inlineStr">
        <is>
          <t>US.50_dday_normandy_1944.jpg</t>
        </is>
      </c>
      <c r="D21" s="27" t="inlineStr">
        <is>
          <t>dday_normandy_1944</t>
        </is>
      </c>
      <c r="E21" s="19" t="inlineStr">
        <is>
          <t>View in Drive</t>
        </is>
      </c>
      <c r="F21" s="27" t="inlineStr">
        <is>
          <t>Cited (Drive) — prev. reviewed</t>
        </is>
      </c>
      <c r="G21" s="21" t="inlineStr">
        <is>
          <t>D-Day, Jun 6 1944. OK.</t>
        </is>
      </c>
      <c r="H21" s="4" t="inlineStr"/>
      <c r="I21" s="4" t="inlineStr"/>
      <c r="J21" s="4" t="inlineStr"/>
      <c r="K21" s="4" t="inlineStr"/>
    </row>
    <row r="22" ht="30" customHeight="1">
      <c r="A22" s="15" t="n">
        <v>17</v>
      </c>
      <c r="B22" s="16" t="inlineStr">
        <is>
          <t>US.50</t>
        </is>
      </c>
      <c r="C22" s="17" t="inlineStr">
        <is>
          <t>US.50_dday-omaha-beach-1944.jpg</t>
        </is>
      </c>
      <c r="D22" s="27" t="inlineStr">
        <is>
          <t>dday omaha beach 1944</t>
        </is>
      </c>
      <c r="E22" s="19" t="inlineStr">
        <is>
          <t>View in Drive</t>
        </is>
      </c>
      <c r="F22" s="27" t="inlineStr">
        <is>
          <t>Cited (Drive) — prev. reviewed</t>
        </is>
      </c>
      <c r="G22" s="21" t="inlineStr">
        <is>
          <t>Omaha Beach, Jun 1944. OK.</t>
        </is>
      </c>
      <c r="H22" s="4" t="inlineStr"/>
      <c r="I22" s="4" t="inlineStr"/>
      <c r="J22" s="4" t="inlineStr"/>
      <c r="K22" s="4" t="inlineStr"/>
    </row>
    <row r="23" ht="30" customHeight="1">
      <c r="A23" s="15" t="n">
        <v>18</v>
      </c>
      <c r="B23" s="16" t="inlineStr">
        <is>
          <t>US.50</t>
        </is>
      </c>
      <c r="C23" s="17" t="inlineStr">
        <is>
          <t>US.50_japanese_internment_mochida_1942.jpg</t>
        </is>
      </c>
      <c r="D23" s="27" t="inlineStr">
        <is>
          <t>japanese_internment_mochida_1942</t>
        </is>
      </c>
      <c r="E23" s="19" t="inlineStr">
        <is>
          <t>View in Drive</t>
        </is>
      </c>
      <c r="F23" s="27" t="inlineStr">
        <is>
          <t>Cited (Drive) — prev. reviewed</t>
        </is>
      </c>
      <c r="G23" s="21" t="inlineStr">
        <is>
          <t>RE-TAG -&gt; US.54 (Internment): rename Drive prefix to US.54_. POSSIBLE DUPLICATE of US.54 Mochida-family photo — keep the better copy.</t>
        </is>
      </c>
      <c r="H23" s="4" t="inlineStr"/>
      <c r="I23" s="4" t="inlineStr"/>
      <c r="J23" s="4" t="inlineStr"/>
      <c r="K23" s="4" t="inlineStr"/>
    </row>
    <row r="24" ht="30" customHeight="1">
      <c r="A24" s="15" t="n">
        <v>19</v>
      </c>
      <c r="B24" s="16" t="inlineStr">
        <is>
          <t>US.51</t>
        </is>
      </c>
      <c r="C24" s="17" t="inlineStr">
        <is>
          <t>US.51_tuskegee-airmen-1945.jpg</t>
        </is>
      </c>
      <c r="D24" s="27" t="inlineStr">
        <is>
          <t>tuskegee airmen 1945</t>
        </is>
      </c>
      <c r="E24" s="19" t="inlineStr">
        <is>
          <t>View in Drive</t>
        </is>
      </c>
      <c r="F24" s="27" t="inlineStr">
        <is>
          <t>Cited (Drive) — prev. reviewed</t>
        </is>
      </c>
      <c r="G24" s="21" t="inlineStr">
        <is>
          <t>Tuskegee Airmen c.1945. OK.</t>
        </is>
      </c>
      <c r="H24" s="4" t="inlineStr"/>
      <c r="I24" s="4" t="inlineStr"/>
      <c r="J24" s="4" t="inlineStr"/>
      <c r="K24" s="4" t="inlineStr"/>
    </row>
    <row r="25" ht="30" customHeight="1">
      <c r="A25" s="15" t="n">
        <v>20</v>
      </c>
      <c r="B25" s="16" t="inlineStr">
        <is>
          <t>US.51</t>
        </is>
      </c>
      <c r="C25" s="17" t="inlineStr">
        <is>
          <t>US.51_navajo-code-talkers.jpg</t>
        </is>
      </c>
      <c r="D25" s="27" t="inlineStr">
        <is>
          <t>navajo code talkers</t>
        </is>
      </c>
      <c r="E25" s="19" t="inlineStr">
        <is>
          <t>View in Drive</t>
        </is>
      </c>
      <c r="F25" s="27" t="inlineStr">
        <is>
          <t>Cited (Drive) — prev. reviewed</t>
        </is>
      </c>
      <c r="G25" s="21" t="inlineStr">
        <is>
          <t>Navajo Code Talkers. OK.</t>
        </is>
      </c>
      <c r="H25" s="4" t="inlineStr"/>
      <c r="I25" s="4" t="inlineStr"/>
      <c r="J25" s="4" t="inlineStr"/>
      <c r="K25" s="4" t="inlineStr"/>
    </row>
    <row r="26" ht="30" customHeight="1">
      <c r="A26" s="15" t="n">
        <v>21</v>
      </c>
      <c r="B26" s="16" t="inlineStr">
        <is>
          <t>US.51</t>
        </is>
      </c>
      <c r="C26" s="17" t="inlineStr">
        <is>
          <t>US.51_iwo_jima_flag_1945.jpg</t>
        </is>
      </c>
      <c r="D26" s="27" t="inlineStr">
        <is>
          <t>iwo_jima_flag_1945</t>
        </is>
      </c>
      <c r="E26" s="19" t="inlineStr">
        <is>
          <t>View in Drive</t>
        </is>
      </c>
      <c r="F26" s="27" t="inlineStr">
        <is>
          <t>Cited (Drive) — prev. reviewed</t>
        </is>
      </c>
      <c r="G26" s="21" t="inlineStr">
        <is>
          <t>CITE LOC: Rosenthal (AP), Feb 23 1945 — use the LOC Prints &amp; Photographs PD copy (loc.gov item 96515062; confirm LC call no.). Duplicate of the US.49 Iwo Jima — keep one. Topic fits US.50.</t>
        </is>
      </c>
      <c r="H26" s="4" t="inlineStr"/>
      <c r="I26" s="4" t="inlineStr"/>
      <c r="J26" s="4" t="inlineStr"/>
      <c r="K26" s="4" t="inlineStr"/>
    </row>
    <row r="27" ht="30" customHeight="1">
      <c r="A27" s="15" t="n">
        <v>22</v>
      </c>
      <c r="B27" s="16" t="inlineStr">
        <is>
          <t>US.52</t>
        </is>
      </c>
      <c r="C27" s="17" t="inlineStr">
        <is>
          <t>US.52_tuskegee_airmen_wwii.jpg</t>
        </is>
      </c>
      <c r="D27" s="27" t="inlineStr">
        <is>
          <t>tuskegee_airmen_wwii</t>
        </is>
      </c>
      <c r="E27" s="19" t="inlineStr">
        <is>
          <t>View in Drive</t>
        </is>
      </c>
      <c r="F27" s="27" t="inlineStr">
        <is>
          <t>Cited (Drive) — prev. reviewed</t>
        </is>
      </c>
      <c r="G27" s="21" t="inlineStr">
        <is>
          <t>RE-TAG -&gt; US.51 (Special Forces): rename Drive prefix to US.51_. POSSIBLE DUPLICATE of US.51 Tuskegee photo — keep the better copy.</t>
        </is>
      </c>
      <c r="H27" s="4" t="inlineStr"/>
      <c r="I27" s="4" t="inlineStr"/>
      <c r="J27" s="4" t="inlineStr"/>
      <c r="K27" s="4" t="inlineStr"/>
    </row>
    <row r="28" ht="30" customHeight="1">
      <c r="A28" s="15" t="n">
        <v>23</v>
      </c>
      <c r="B28" s="16" t="inlineStr">
        <is>
          <t>US.52</t>
        </is>
      </c>
      <c r="C28" s="17" t="inlineStr">
        <is>
          <t>US.52_rosie-riveter-vultee-nashville-1943.jpg</t>
        </is>
      </c>
      <c r="D28" s="27" t="inlineStr">
        <is>
          <t>rosie riveter vultee nashville 1943</t>
        </is>
      </c>
      <c r="E28" s="19" t="inlineStr">
        <is>
          <t>View in Drive</t>
        </is>
      </c>
      <c r="F28" s="27" t="inlineStr">
        <is>
          <t>Cited (Drive) — prev. reviewed</t>
        </is>
      </c>
      <c r="G28" s="21" t="inlineStr">
        <is>
          <t>Vultee plant, Nashville TN, Palmer 1943. OK. TN connection.</t>
        </is>
      </c>
      <c r="H28" s="4" t="inlineStr"/>
      <c r="I28" s="4" t="inlineStr"/>
      <c r="J28" s="4" t="inlineStr"/>
      <c r="K28" s="4" t="inlineStr"/>
    </row>
    <row r="29" ht="30" customHeight="1">
      <c r="A29" s="15" t="n">
        <v>24</v>
      </c>
      <c r="B29" s="16" t="inlineStr">
        <is>
          <t>US.52</t>
        </is>
      </c>
      <c r="C29" s="17" t="inlineStr">
        <is>
          <t>US.52_wasp-pilots-wwii.jpg</t>
        </is>
      </c>
      <c r="D29" s="27" t="inlineStr">
        <is>
          <t>wasp pilots wwii</t>
        </is>
      </c>
      <c r="E29" s="19" t="inlineStr">
        <is>
          <t>View in Drive</t>
        </is>
      </c>
      <c r="F29" s="27" t="inlineStr">
        <is>
          <t>Cited (Drive) — prev. reviewed</t>
        </is>
      </c>
      <c r="G29" s="21" t="inlineStr">
        <is>
          <t>WASP pilots (USAF photo). OK.</t>
        </is>
      </c>
      <c r="H29" s="4" t="inlineStr"/>
      <c r="I29" s="4" t="inlineStr"/>
      <c r="J29" s="4" t="inlineStr"/>
      <c r="K29" s="4" t="inlineStr"/>
    </row>
    <row r="30" ht="30" customHeight="1">
      <c r="A30" s="15" t="n">
        <v>25</v>
      </c>
      <c r="B30" s="16" t="inlineStr">
        <is>
          <t>US.53</t>
        </is>
      </c>
      <c r="C30" s="17" t="inlineStr">
        <is>
          <t>US.53_north-american-aviation-integrated-workers-1942.jpg</t>
        </is>
      </c>
      <c r="D30" s="27" t="inlineStr">
        <is>
          <t>north american aviation integrated workers 1942</t>
        </is>
      </c>
      <c r="E30" s="19" t="inlineStr">
        <is>
          <t>View in Drive</t>
        </is>
      </c>
      <c r="F30" s="27" t="inlineStr">
        <is>
          <t>Cited (Drive) — prev. reviewed</t>
        </is>
      </c>
      <c r="G30" s="21" t="inlineStr">
        <is>
          <t>Integrated aircraft workers, 1942. OK.</t>
        </is>
      </c>
      <c r="H30" s="4" t="inlineStr"/>
      <c r="I30" s="4" t="inlineStr"/>
      <c r="J30" s="4" t="inlineStr"/>
      <c r="K30" s="4" t="inlineStr"/>
    </row>
    <row r="31" ht="30" customHeight="1">
      <c r="A31" s="15" t="n">
        <v>26</v>
      </c>
      <c r="B31" s="16" t="inlineStr">
        <is>
          <t>US.53</t>
        </is>
      </c>
      <c r="C31" s="17" t="inlineStr">
        <is>
          <t>US.53_atomic_bomb_hiroshima_1945.jpg</t>
        </is>
      </c>
      <c r="D31" s="27" t="inlineStr">
        <is>
          <t>atomic_bomb_hiroshima_1945</t>
        </is>
      </c>
      <c r="E31" s="19" t="inlineStr">
        <is>
          <t>View in Drive</t>
        </is>
      </c>
      <c r="F31" s="27" t="inlineStr">
        <is>
          <t>Cited (Drive) — prev. reviewed</t>
        </is>
      </c>
      <c r="G31" s="21" t="inlineStr">
        <is>
          <t>RE-TAG -&gt; US.56 (Manhattan Project): rename Drive prefix to US.56_. Fills the Hiroshima gap in US.56.</t>
        </is>
      </c>
      <c r="H31" s="4" t="inlineStr"/>
      <c r="I31" s="4" t="inlineStr"/>
      <c r="J31" s="4" t="inlineStr"/>
      <c r="K31" s="4" t="inlineStr"/>
    </row>
    <row r="32" ht="30" customHeight="1">
      <c r="A32" s="15" t="n">
        <v>27</v>
      </c>
      <c r="B32" s="16" t="inlineStr">
        <is>
          <t>US.53</t>
        </is>
      </c>
      <c r="C32" s="17" t="inlineStr">
        <is>
          <t>US.53_african-american-wacs-wwii.png</t>
        </is>
      </c>
      <c r="D32" s="27" t="inlineStr">
        <is>
          <t>african american wacs wwii</t>
        </is>
      </c>
      <c r="E32" s="19" t="inlineStr">
        <is>
          <t>View in Drive</t>
        </is>
      </c>
      <c r="F32" s="27" t="inlineStr">
        <is>
          <t>Cited (Drive) — prev. reviewed</t>
        </is>
      </c>
      <c r="G32" s="21" t="inlineStr">
        <is>
          <t>African American WACs. OK.</t>
        </is>
      </c>
      <c r="H32" s="4" t="inlineStr"/>
      <c r="I32" s="4" t="inlineStr"/>
      <c r="J32" s="4" t="inlineStr"/>
      <c r="K32" s="4" t="inlineStr"/>
    </row>
    <row r="33" ht="30" customHeight="1">
      <c r="A33" s="15" t="n">
        <v>28</v>
      </c>
      <c r="B33" s="16" t="inlineStr">
        <is>
          <t>US.54</t>
        </is>
      </c>
      <c r="C33" s="17" t="inlineStr">
        <is>
          <t>US.54_manzanar-view.jpg</t>
        </is>
      </c>
      <c r="D33" s="27" t="inlineStr">
        <is>
          <t>manzanar view</t>
        </is>
      </c>
      <c r="E33" s="19" t="inlineStr">
        <is>
          <t>View in Drive</t>
        </is>
      </c>
      <c r="F33" s="27" t="inlineStr">
        <is>
          <t>Cited (Drive) — prev. reviewed</t>
        </is>
      </c>
      <c r="G33" s="21" t="inlineStr">
        <is>
          <t>Manzanar (likely Ansel Adams 1943, LOC PD). OK.</t>
        </is>
      </c>
      <c r="H33" s="4" t="inlineStr"/>
      <c r="I33" s="4" t="inlineStr"/>
      <c r="J33" s="4" t="inlineStr"/>
      <c r="K33" s="4" t="inlineStr"/>
    </row>
    <row r="34" ht="30" customHeight="1">
      <c r="A34" s="15" t="n">
        <v>29</v>
      </c>
      <c r="B34" s="16" t="inlineStr">
        <is>
          <t>US.54</t>
        </is>
      </c>
      <c r="C34" s="17" t="inlineStr">
        <is>
          <t>US.54_internment-tags.jpg</t>
        </is>
      </c>
      <c r="D34" s="27" t="inlineStr">
        <is>
          <t>internment tags</t>
        </is>
      </c>
      <c r="E34" s="19" t="inlineStr">
        <is>
          <t>View in Drive</t>
        </is>
      </c>
      <c r="F34" s="27" t="inlineStr">
        <is>
          <t>Cited (Drive) — prev. reviewed</t>
        </is>
      </c>
      <c r="G34" s="21" t="inlineStr">
        <is>
          <t>ID tags on incarcerees. OK.</t>
        </is>
      </c>
      <c r="H34" s="4" t="inlineStr"/>
      <c r="I34" s="4" t="inlineStr"/>
      <c r="J34" s="4" t="inlineStr"/>
      <c r="K34" s="4" t="inlineStr"/>
    </row>
    <row r="35" ht="30" customHeight="1">
      <c r="A35" s="15" t="n">
        <v>30</v>
      </c>
      <c r="B35" s="16" t="inlineStr">
        <is>
          <t>US.54</t>
        </is>
      </c>
      <c r="C35" s="17" t="inlineStr">
        <is>
          <t>US.54_japanese-internment-mochida-family-1942.jpg</t>
        </is>
      </c>
      <c r="D35" s="27" t="inlineStr">
        <is>
          <t>japanese internment mochida family 1942</t>
        </is>
      </c>
      <c r="E35" s="19" t="inlineStr">
        <is>
          <t>View in Drive</t>
        </is>
      </c>
      <c r="F35" s="27" t="inlineStr">
        <is>
          <t>Cited (Drive) — prev. reviewed</t>
        </is>
      </c>
      <c r="G35" s="21" t="inlineStr">
        <is>
          <t>Lange Mochida family, Apr 1942. OK (dup).</t>
        </is>
      </c>
      <c r="H35" s="4" t="inlineStr"/>
      <c r="I35" s="4" t="inlineStr"/>
      <c r="J35" s="4" t="inlineStr"/>
      <c r="K35" s="4" t="inlineStr"/>
    </row>
    <row r="36" ht="30" customHeight="1">
      <c r="A36" s="15" t="n">
        <v>31</v>
      </c>
      <c r="B36" s="16" t="inlineStr">
        <is>
          <t>US.55</t>
        </is>
      </c>
      <c r="C36" s="17" t="inlineStr">
        <is>
          <t>US.55_victory-garden-home-front-1943.jpg</t>
        </is>
      </c>
      <c r="D36" s="27" t="inlineStr">
        <is>
          <t>victory garden home front 1943</t>
        </is>
      </c>
      <c r="E36" s="19" t="inlineStr">
        <is>
          <t>View in Drive</t>
        </is>
      </c>
      <c r="F36" s="27" t="inlineStr">
        <is>
          <t>Cited (Drive) — prev. reviewed</t>
        </is>
      </c>
      <c r="G36" s="21" t="inlineStr">
        <is>
          <t>Victory garden, 1943. OK.</t>
        </is>
      </c>
      <c r="H36" s="4" t="inlineStr"/>
      <c r="I36" s="4" t="inlineStr"/>
      <c r="J36" s="4" t="inlineStr"/>
      <c r="K36" s="4" t="inlineStr"/>
    </row>
    <row r="37" ht="30" customHeight="1">
      <c r="A37" s="15" t="n">
        <v>32</v>
      </c>
      <c r="B37" s="16" t="inlineStr">
        <is>
          <t>US.55</t>
        </is>
      </c>
      <c r="C37" s="17" t="inlineStr">
        <is>
          <t>US.55_rosie_riveter_1943.jpg</t>
        </is>
      </c>
      <c r="D37" s="27" t="inlineStr">
        <is>
          <t>rosie_riveter_1943</t>
        </is>
      </c>
      <c r="E37" s="19" t="inlineStr">
        <is>
          <t>View in Drive</t>
        </is>
      </c>
      <c r="F37" s="27" t="inlineStr">
        <is>
          <t>Cited (Drive) — prev. reviewed</t>
        </is>
      </c>
      <c r="G37" s="21" t="inlineStr">
        <is>
          <t>Woman war worker, 1943. OK.</t>
        </is>
      </c>
      <c r="H37" s="4" t="inlineStr"/>
      <c r="I37" s="4" t="inlineStr"/>
      <c r="J37" s="4" t="inlineStr"/>
      <c r="K37" s="4" t="inlineStr"/>
    </row>
    <row r="38" ht="30" customHeight="1">
      <c r="A38" s="15" t="n">
        <v>33</v>
      </c>
      <c r="B38" s="16" t="inlineStr">
        <is>
          <t>US.55</t>
        </is>
      </c>
      <c r="C38" s="17" t="inlineStr">
        <is>
          <t>US.55_gi_bill_veterans_1940s.jpg</t>
        </is>
      </c>
      <c r="D38" s="27" t="inlineStr">
        <is>
          <t>gi_bill_veterans_1940s</t>
        </is>
      </c>
      <c r="E38" s="19" t="inlineStr">
        <is>
          <t>View in Drive</t>
        </is>
      </c>
      <c r="F38" s="27" t="inlineStr">
        <is>
          <t>Cited (Drive) — prev. reviewed</t>
        </is>
      </c>
      <c r="G38" s="21" t="inlineStr">
        <is>
          <t>GI Bill (1944) veterans. OK (late war/postwar).</t>
        </is>
      </c>
      <c r="H38" s="4" t="inlineStr"/>
      <c r="I38" s="4" t="inlineStr"/>
      <c r="J38" s="4" t="inlineStr"/>
      <c r="K38" s="4" t="inlineStr"/>
    </row>
    <row r="39" ht="30" customHeight="1">
      <c r="A39" s="15" t="n">
        <v>34</v>
      </c>
      <c r="B39" s="16" t="inlineStr">
        <is>
          <t>US.56</t>
        </is>
      </c>
      <c r="C39" s="17" t="inlineStr">
        <is>
          <t>US.56_trinity-test-explosion.jpg</t>
        </is>
      </c>
      <c r="D39" s="27" t="inlineStr">
        <is>
          <t>trinity test explosion</t>
        </is>
      </c>
      <c r="E39" s="19" t="inlineStr">
        <is>
          <t>View in Drive</t>
        </is>
      </c>
      <c r="F39" s="27" t="inlineStr">
        <is>
          <t>Cited (Drive) — prev. reviewed</t>
        </is>
      </c>
      <c r="G39" s="21" t="inlineStr">
        <is>
          <t>Trinity test, Jul 16 1945. OK.</t>
        </is>
      </c>
      <c r="H39" s="4" t="inlineStr"/>
      <c r="I39" s="4" t="inlineStr"/>
      <c r="J39" s="4" t="inlineStr"/>
      <c r="K39" s="4" t="inlineStr"/>
    </row>
    <row r="40" ht="30" customHeight="1">
      <c r="A40" s="15" t="n">
        <v>35</v>
      </c>
      <c r="B40" s="16" t="inlineStr">
        <is>
          <t>US.56</t>
        </is>
      </c>
      <c r="C40" s="17" t="inlineStr">
        <is>
          <t>US.56_oppenheimer-groves-trinity.jpg</t>
        </is>
      </c>
      <c r="D40" s="27" t="inlineStr">
        <is>
          <t>oppenheimer groves trinity</t>
        </is>
      </c>
      <c r="E40" s="19" t="inlineStr">
        <is>
          <t>View in Drive</t>
        </is>
      </c>
      <c r="F40" s="27" t="inlineStr">
        <is>
          <t>Cited (Drive) — prev. reviewed</t>
        </is>
      </c>
      <c r="G40" s="21" t="inlineStr">
        <is>
          <t>Oppenheimer &amp; Groves at Trinity. OK.</t>
        </is>
      </c>
      <c r="H40" s="4" t="inlineStr"/>
      <c r="I40" s="4" t="inlineStr"/>
      <c r="J40" s="4" t="inlineStr"/>
      <c r="K40" s="4" t="inlineStr"/>
    </row>
    <row r="41" ht="30" customHeight="1">
      <c r="A41" s="15" t="n">
        <v>36</v>
      </c>
      <c r="B41" s="16" t="inlineStr">
        <is>
          <t>US.56</t>
        </is>
      </c>
      <c r="C41" s="17" t="inlineStr">
        <is>
          <t>US.56_nagasaki-atomic-bomb-1945.jpg</t>
        </is>
      </c>
      <c r="D41" s="27" t="inlineStr">
        <is>
          <t>nagasaki atomic bomb 1945</t>
        </is>
      </c>
      <c r="E41" s="19" t="inlineStr">
        <is>
          <t>View in Drive</t>
        </is>
      </c>
      <c r="F41" s="27" t="inlineStr">
        <is>
          <t>Cited (Drive) — prev. reviewed</t>
        </is>
      </c>
      <c r="G41" s="21" t="inlineStr">
        <is>
          <t>Nagasaki, Aug 9 1945. OK.</t>
        </is>
      </c>
      <c r="H41" s="4" t="inlineStr"/>
      <c r="I41" s="4" t="inlineStr"/>
      <c r="J41" s="4" t="inlineStr"/>
      <c r="K41" s="4" t="inlineStr"/>
    </row>
    <row r="42" ht="30" customHeight="1">
      <c r="A42" s="15" t="n">
        <v>37</v>
      </c>
      <c r="B42" s="16" t="inlineStr">
        <is>
          <t>US.57</t>
        </is>
      </c>
      <c r="C42" s="17" t="inlineStr">
        <is>
          <t>US.57_potsdam-conference-1945.jpg</t>
        </is>
      </c>
      <c r="D42" s="27" t="inlineStr">
        <is>
          <t>potsdam conference 1945</t>
        </is>
      </c>
      <c r="E42" s="19" t="inlineStr">
        <is>
          <t>View in Drive</t>
        </is>
      </c>
      <c r="F42" s="27" t="inlineStr">
        <is>
          <t>Cited (Drive) — prev. reviewed</t>
        </is>
      </c>
      <c r="G42" s="21" t="inlineStr">
        <is>
          <t>Potsdam, Jul–Aug 1945. OK.</t>
        </is>
      </c>
      <c r="H42" s="4" t="inlineStr"/>
      <c r="I42" s="4" t="inlineStr"/>
      <c r="J42" s="4" t="inlineStr"/>
      <c r="K42" s="4" t="inlineStr"/>
    </row>
    <row r="43" ht="30" customHeight="1">
      <c r="A43" s="15" t="n">
        <v>38</v>
      </c>
      <c r="B43" s="16" t="inlineStr">
        <is>
          <t>US.57</t>
        </is>
      </c>
      <c r="C43" s="17" t="inlineStr">
        <is>
          <t>US.57_yalta-conference-big-three-1945.jpg</t>
        </is>
      </c>
      <c r="D43" s="27" t="inlineStr">
        <is>
          <t>yalta conference big three 1945</t>
        </is>
      </c>
      <c r="E43" s="19" t="inlineStr">
        <is>
          <t>View in Drive</t>
        </is>
      </c>
      <c r="F43" s="27" t="inlineStr">
        <is>
          <t>Cited (Drive) — prev. reviewed</t>
        </is>
      </c>
      <c r="G43" s="21" t="inlineStr">
        <is>
          <t>Yalta, Feb 1945. OK (dup subject).</t>
        </is>
      </c>
      <c r="H43" s="4" t="inlineStr"/>
      <c r="I43" s="4" t="inlineStr"/>
      <c r="J43" s="4" t="inlineStr"/>
      <c r="K43" s="4" t="inlineStr"/>
    </row>
    <row r="44" ht="30" customHeight="1">
      <c r="A44" s="15" t="n">
        <v>39</v>
      </c>
      <c r="B44" s="16" t="inlineStr">
        <is>
          <t>US.58</t>
        </is>
      </c>
      <c r="C44" s="17" t="inlineStr">
        <is>
          <t>US.58_cordell-hull-signing-un-charter.jpg</t>
        </is>
      </c>
      <c r="D44" s="27" t="inlineStr">
        <is>
          <t>cordell hull signing un charter</t>
        </is>
      </c>
      <c r="E44" s="19" t="inlineStr">
        <is>
          <t>View in Drive</t>
        </is>
      </c>
      <c r="F44" s="27" t="inlineStr">
        <is>
          <t>Cited (Drive) — prev. reviewed</t>
        </is>
      </c>
      <c r="G44" s="20" t="inlineStr">
        <is>
          <t>VERIFIED: Hull, too ill for San Francisco, signed the Charter at the State Dept, Washington, Jul 1945. TN connection.</t>
        </is>
      </c>
      <c r="H44" s="4" t="inlineStr"/>
      <c r="I44" s="4" t="inlineStr"/>
      <c r="J44" s="4" t="inlineStr"/>
      <c r="K44" s="4" t="inlineStr"/>
    </row>
    <row r="45" ht="30" customHeight="1">
      <c r="A45" s="15" t="n">
        <v>40</v>
      </c>
      <c r="B45" s="16" t="inlineStr">
        <is>
          <t>US.58</t>
        </is>
      </c>
      <c r="C45" s="17" t="inlineStr">
        <is>
          <t>US.58_declaration-by-united-nations-1942.jpg</t>
        </is>
      </c>
      <c r="D45" s="27" t="inlineStr">
        <is>
          <t>declaration by united nations 1942</t>
        </is>
      </c>
      <c r="E45" s="19" t="inlineStr">
        <is>
          <t>View in Drive</t>
        </is>
      </c>
      <c r="F45" s="27" t="inlineStr">
        <is>
          <t>Cited (Drive) — prev. reviewed</t>
        </is>
      </c>
      <c r="G45" s="21" t="inlineStr">
        <is>
          <t>Declaration by United Nations, Jan 1 1942. OK (UN origins).</t>
        </is>
      </c>
      <c r="H45" s="4" t="inlineStr"/>
      <c r="I45" s="4" t="inlineStr"/>
      <c r="J45" s="4" t="inlineStr"/>
      <c r="K45" s="4" t="inlineStr"/>
    </row>
  </sheetData>
  <mergeCells count="5">
    <mergeCell ref="F3:G3"/>
    <mergeCell ref="B3:D3"/>
    <mergeCell ref="A2:K2"/>
    <mergeCell ref="I3:K3"/>
    <mergeCell ref="A1:K1"/>
  </mergeCells>
  <dataValidations count="1">
    <dataValidation sqref="H6:H45" showDropDown="0" showInputMessage="0" showErrorMessage="0" allowBlank="1" type="list">
      <formula1>"Accept,Needs fix,Reject,Re-tag,Remove"</formula1>
    </dataValidation>
  </dataValidation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39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2026-08-01T17:06:29Z</dcterms:created>
  <dcterms:modified xmlns:dcterms="http://purl.org/dc/terms/" xmlns:xsi="http://www.w3.org/2001/XMLSchema-instance" xsi:type="dcterms:W3CDTF">2026-08-01T17:06:29Z</dcterms:modified>
</cp:coreProperties>
</file>